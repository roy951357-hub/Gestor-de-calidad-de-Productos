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CNOLOGIA\Pictures\"/>
    </mc:Choice>
  </mc:AlternateContent>
  <xr:revisionPtr revIDLastSave="0" documentId="8_{53796087-BE5F-430B-83BB-3AABD833A1A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426" i="1" l="1"/>
  <c r="L426" i="1"/>
  <c r="I426" i="1"/>
  <c r="Q426" i="1"/>
  <c r="O426" i="1"/>
  <c r="N426" i="1"/>
  <c r="M426" i="1"/>
  <c r="G426" i="1"/>
  <c r="L425" i="1"/>
  <c r="P425" i="1" s="1"/>
  <c r="R425" i="1" s="1"/>
  <c r="L424" i="1"/>
  <c r="P424" i="1" s="1"/>
  <c r="R424" i="1" s="1"/>
  <c r="L423" i="1"/>
  <c r="P423" i="1" s="1"/>
  <c r="R423" i="1" s="1"/>
  <c r="L422" i="1"/>
  <c r="P422" i="1" s="1"/>
  <c r="R422" i="1" s="1"/>
  <c r="L421" i="1"/>
  <c r="P421" i="1" s="1"/>
  <c r="R421" i="1" s="1"/>
  <c r="P420" i="1"/>
  <c r="R420" i="1" s="1"/>
  <c r="L420" i="1"/>
  <c r="L419" i="1"/>
  <c r="P419" i="1" s="1"/>
  <c r="R419" i="1" s="1"/>
  <c r="L418" i="1"/>
  <c r="P418" i="1" s="1"/>
  <c r="R418" i="1" s="1"/>
  <c r="L417" i="1"/>
  <c r="P417" i="1" s="1"/>
  <c r="R417" i="1" s="1"/>
  <c r="L416" i="1"/>
  <c r="I411" i="1"/>
  <c r="P411" i="1" s="1"/>
  <c r="R411" i="1" s="1"/>
  <c r="I406" i="1"/>
  <c r="P406" i="1" s="1"/>
  <c r="R406" i="1" s="1"/>
  <c r="I401" i="1"/>
  <c r="P401" i="1" s="1"/>
  <c r="R401" i="1" s="1"/>
  <c r="I396" i="1"/>
  <c r="P396" i="1" s="1"/>
  <c r="R396" i="1" s="1"/>
  <c r="I391" i="1"/>
  <c r="P391" i="1" s="1"/>
  <c r="R391" i="1" s="1"/>
  <c r="I386" i="1"/>
  <c r="P386" i="1" s="1"/>
  <c r="R386" i="1" s="1"/>
  <c r="I381" i="1"/>
  <c r="P381" i="1" s="1"/>
  <c r="R381" i="1" s="1"/>
  <c r="I376" i="1"/>
  <c r="P376" i="1" s="1"/>
  <c r="R376" i="1" s="1"/>
  <c r="R371" i="1"/>
  <c r="P371" i="1"/>
  <c r="I371" i="1"/>
  <c r="P366" i="1"/>
  <c r="R366" i="1" s="1"/>
  <c r="I366" i="1"/>
  <c r="I361" i="1"/>
  <c r="P361" i="1" s="1"/>
  <c r="R361" i="1" s="1"/>
  <c r="I354" i="1"/>
  <c r="P354" i="1" s="1"/>
  <c r="R354" i="1" s="1"/>
  <c r="I348" i="1"/>
  <c r="P348" i="1" s="1"/>
  <c r="R348" i="1" s="1"/>
  <c r="I342" i="1"/>
  <c r="P342" i="1" s="1"/>
  <c r="R342" i="1" s="1"/>
  <c r="R336" i="1"/>
  <c r="P336" i="1"/>
  <c r="I336" i="1"/>
  <c r="I330" i="1"/>
  <c r="P330" i="1" s="1"/>
  <c r="R330" i="1" s="1"/>
  <c r="P324" i="1"/>
  <c r="R324" i="1" s="1"/>
  <c r="I324" i="1"/>
  <c r="P318" i="1"/>
  <c r="R318" i="1" s="1"/>
  <c r="I318" i="1"/>
  <c r="I312" i="1"/>
  <c r="P312" i="1" s="1"/>
  <c r="R312" i="1" s="1"/>
  <c r="I306" i="1"/>
  <c r="P306" i="1" s="1"/>
  <c r="R306" i="1" s="1"/>
  <c r="I300" i="1"/>
  <c r="P300" i="1" s="1"/>
  <c r="R300" i="1" s="1"/>
  <c r="I294" i="1"/>
  <c r="P294" i="1" s="1"/>
  <c r="R294" i="1" s="1"/>
  <c r="I288" i="1"/>
  <c r="P288" i="1" s="1"/>
  <c r="R288" i="1" s="1"/>
  <c r="P283" i="1"/>
  <c r="R283" i="1" s="1"/>
  <c r="I283" i="1"/>
  <c r="I278" i="1"/>
  <c r="P278" i="1" s="1"/>
  <c r="R278" i="1" s="1"/>
  <c r="I273" i="1"/>
  <c r="P273" i="1" s="1"/>
  <c r="R273" i="1" s="1"/>
  <c r="I268" i="1"/>
  <c r="P268" i="1" s="1"/>
  <c r="R268" i="1" s="1"/>
  <c r="I263" i="1"/>
  <c r="P263" i="1" s="1"/>
  <c r="R263" i="1" s="1"/>
  <c r="I258" i="1"/>
  <c r="P258" i="1" s="1"/>
  <c r="R258" i="1" s="1"/>
  <c r="I253" i="1"/>
  <c r="P253" i="1" s="1"/>
  <c r="R253" i="1" s="1"/>
  <c r="I248" i="1"/>
  <c r="P248" i="1" s="1"/>
  <c r="R248" i="1" s="1"/>
  <c r="I243" i="1"/>
  <c r="P243" i="1" s="1"/>
  <c r="R243" i="1" s="1"/>
  <c r="I238" i="1"/>
  <c r="P238" i="1" s="1"/>
  <c r="R238" i="1" s="1"/>
  <c r="R233" i="1"/>
  <c r="P233" i="1"/>
  <c r="I233" i="1"/>
  <c r="I228" i="1"/>
  <c r="P228" i="1" s="1"/>
  <c r="R228" i="1" s="1"/>
  <c r="I225" i="1"/>
  <c r="P225" i="1" s="1"/>
  <c r="R225" i="1" s="1"/>
  <c r="R222" i="1"/>
  <c r="P222" i="1"/>
  <c r="I222" i="1"/>
  <c r="P219" i="1"/>
  <c r="R219" i="1" s="1"/>
  <c r="I219" i="1"/>
  <c r="I215" i="1"/>
  <c r="P215" i="1" s="1"/>
  <c r="R215" i="1" s="1"/>
  <c r="I211" i="1"/>
  <c r="P211" i="1" s="1"/>
  <c r="R211" i="1" s="1"/>
  <c r="I207" i="1"/>
  <c r="P207" i="1" s="1"/>
  <c r="R207" i="1" s="1"/>
  <c r="I203" i="1"/>
  <c r="P203" i="1" s="1"/>
  <c r="R203" i="1" s="1"/>
  <c r="R199" i="1"/>
  <c r="P199" i="1"/>
  <c r="I199" i="1"/>
  <c r="I195" i="1"/>
  <c r="P195" i="1" s="1"/>
  <c r="R195" i="1" s="1"/>
  <c r="P191" i="1"/>
  <c r="R191" i="1" s="1"/>
  <c r="I191" i="1"/>
  <c r="P185" i="1"/>
  <c r="R185" i="1" s="1"/>
  <c r="I185" i="1"/>
  <c r="I180" i="1"/>
  <c r="P180" i="1" s="1"/>
  <c r="R180" i="1" s="1"/>
  <c r="I175" i="1"/>
  <c r="P175" i="1" s="1"/>
  <c r="R175" i="1" s="1"/>
  <c r="I170" i="1"/>
  <c r="P170" i="1" s="1"/>
  <c r="R170" i="1" s="1"/>
  <c r="I165" i="1"/>
  <c r="P165" i="1" s="1"/>
  <c r="R165" i="1" s="1"/>
  <c r="I160" i="1"/>
  <c r="P160" i="1" s="1"/>
  <c r="R160" i="1" s="1"/>
  <c r="P155" i="1"/>
  <c r="R155" i="1" s="1"/>
  <c r="I155" i="1"/>
  <c r="I150" i="1"/>
  <c r="P150" i="1" s="1"/>
  <c r="R150" i="1" s="1"/>
  <c r="I145" i="1"/>
  <c r="P145" i="1" s="1"/>
  <c r="R145" i="1" s="1"/>
  <c r="I140" i="1"/>
  <c r="P140" i="1" s="1"/>
  <c r="R140" i="1" s="1"/>
  <c r="I135" i="1"/>
  <c r="P135" i="1" s="1"/>
  <c r="R135" i="1" s="1"/>
  <c r="I130" i="1"/>
  <c r="P130" i="1" s="1"/>
  <c r="R130" i="1" s="1"/>
  <c r="I124" i="1"/>
  <c r="P124" i="1" s="1"/>
  <c r="R124" i="1" s="1"/>
  <c r="I119" i="1"/>
  <c r="P119" i="1" s="1"/>
  <c r="R119" i="1" s="1"/>
  <c r="I114" i="1"/>
  <c r="P114" i="1" s="1"/>
  <c r="R114" i="1" s="1"/>
  <c r="I109" i="1"/>
  <c r="P109" i="1" s="1"/>
  <c r="R109" i="1" s="1"/>
  <c r="R104" i="1"/>
  <c r="P104" i="1"/>
  <c r="I104" i="1"/>
  <c r="I99" i="1"/>
  <c r="P99" i="1" s="1"/>
  <c r="R99" i="1" s="1"/>
  <c r="I94" i="1"/>
  <c r="P94" i="1" s="1"/>
  <c r="R94" i="1" s="1"/>
  <c r="R89" i="1"/>
  <c r="P89" i="1"/>
  <c r="I89" i="1"/>
  <c r="P84" i="1"/>
  <c r="R84" i="1" s="1"/>
  <c r="I84" i="1"/>
  <c r="I79" i="1"/>
  <c r="P79" i="1" s="1"/>
  <c r="R79" i="1" s="1"/>
  <c r="I74" i="1"/>
  <c r="P74" i="1" s="1"/>
  <c r="R74" i="1" s="1"/>
  <c r="I69" i="1"/>
  <c r="P69" i="1" s="1"/>
  <c r="R69" i="1" s="1"/>
  <c r="I64" i="1"/>
  <c r="P64" i="1" s="1"/>
  <c r="R64" i="1" s="1"/>
  <c r="R58" i="1"/>
  <c r="P58" i="1"/>
  <c r="I58" i="1"/>
  <c r="I53" i="1"/>
  <c r="P53" i="1" s="1"/>
  <c r="R53" i="1" s="1"/>
  <c r="P48" i="1"/>
  <c r="R48" i="1" s="1"/>
  <c r="I48" i="1"/>
  <c r="P43" i="1"/>
  <c r="R43" i="1" s="1"/>
  <c r="I43" i="1"/>
  <c r="I38" i="1"/>
  <c r="P38" i="1" s="1"/>
  <c r="R38" i="1" s="1"/>
  <c r="I33" i="1"/>
  <c r="P33" i="1" s="1"/>
  <c r="R33" i="1" s="1"/>
  <c r="I28" i="1"/>
  <c r="P28" i="1" s="1"/>
  <c r="R28" i="1" s="1"/>
  <c r="I23" i="1"/>
  <c r="P23" i="1" s="1"/>
  <c r="R23" i="1" s="1"/>
  <c r="I18" i="1"/>
  <c r="P18" i="1" s="1"/>
  <c r="R18" i="1" s="1"/>
  <c r="P13" i="1"/>
  <c r="R13" i="1" s="1"/>
  <c r="I13" i="1"/>
  <c r="I8" i="1"/>
  <c r="P8" i="1" s="1"/>
  <c r="R8" i="1" l="1"/>
  <c r="P426" i="1"/>
  <c r="P416" i="1"/>
  <c r="R416" i="1" s="1"/>
  <c r="P427" i="1" l="1"/>
  <c r="P428" i="1" s="1"/>
</calcChain>
</file>

<file path=xl/sharedStrings.xml><?xml version="1.0" encoding="utf-8"?>
<sst xmlns="http://schemas.openxmlformats.org/spreadsheetml/2006/main" count="1109" uniqueCount="772">
  <si>
    <t>Presupuesto de Proyecto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</si>
  <si>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</si>
  <si>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</si>
  <si>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</si>
  <si>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</si>
  <si>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</si>
  <si>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</si>
  <si>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</si>
  <si>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
PLANIFICADA</t>
  </si>
  <si>
    <t>FECHA INICIO
REAL</t>
  </si>
  <si>
    <t>FECHA FIN</t>
  </si>
  <si>
    <t>HORAS</t>
  </si>
  <si>
    <t>VALOR HORA</t>
  </si>
  <si>
    <t>TOTAL MANO
DE OBRA</t>
  </si>
  <si>
    <t>UNIDADES</t>
  </si>
  <si>
    <t>VALOR UNIDAD</t>
  </si>
  <si>
    <t>TOTAL
MATERIALES</t>
  </si>
  <si>
    <t>VIAJES</t>
  </si>
  <si>
    <t>EQUIPOS</t>
  </si>
  <si>
    <t>MISCELANEOS</t>
  </si>
  <si>
    <t>PRESUPUESTO</t>
  </si>
  <si>
    <t>REAL</t>
  </si>
  <si>
    <t>DIFERENCIA
(Menos / Mas
del Presupuesto)</t>
  </si>
  <si>
    <t>1) Planeación</t>
  </si>
  <si>
    <t>1.1.1 Definir objetivos</t>
  </si>
  <si>
    <t>1.1.1.1 Analizar la necesidad del proyecto</t>
  </si>
  <si>
    <t>Se estudia la necesidad del proyecto para comprender el contexto y tomar decisiones informadas.</t>
  </si>
  <si>
    <t>No Iniciado</t>
  </si>
  <si>
    <t>1.1.1.2 Definir el objetivo general</t>
  </si>
  <si>
    <t>Se establece con claridad el objetivo general, dejando por escrito los criterios acordados.</t>
  </si>
  <si>
    <t>1.1.1.3 Definir los objetivos específicos</t>
  </si>
  <si>
    <t>Se establece con claridad los objetivos específicos, dejando por escrito los criterios acordados.</t>
  </si>
  <si>
    <t>1.1.1.4 Validar los objetivos con los interesados</t>
  </si>
  <si>
    <t>Se revisa los objetivos con los interesados para confirmar que cumple lo esperado antes de continuar.</t>
  </si>
  <si>
    <t>1.1.2 Identificar usuarios y roles</t>
  </si>
  <si>
    <t>1.1.2.1 Identificar los tipos de usuarios del sistema</t>
  </si>
  <si>
    <t>Se detecta y se listan los tipos de usuarios del sistema a partir de la información disponible.</t>
  </si>
  <si>
    <t>1.1.2.2 Definir los roles y permisos de cada usuario</t>
  </si>
  <si>
    <t>Se establece con claridad los roles y permisos de cada usuario, dejando por escrito los criterios acordados.</t>
  </si>
  <si>
    <t>1.1.2.3 Documentar el perfil de cada rol</t>
  </si>
  <si>
    <t>Se registra por escrito el perfil de cada rol para dejar constancia y facilitar su consulta posterior.</t>
  </si>
  <si>
    <t>1.1.2.4 Validar los roles con los interesados</t>
  </si>
  <si>
    <t>Se revisa los roles con los interesados para confirmar que cumple lo esperado antes de continuar.</t>
  </si>
  <si>
    <t>1.1.3 Definir alcance</t>
  </si>
  <si>
    <t>1.1.3.1 Identificar los límites del proyecto</t>
  </si>
  <si>
    <t>Se detecta y se listan los límites del proyecto a partir de la información disponible.</t>
  </si>
  <si>
    <t>1.1.3.2 Definir los entregables del proyecto</t>
  </si>
  <si>
    <t>Se establece con claridad los entregables del proyecto, dejando por escrito los criterios acordados.</t>
  </si>
  <si>
    <t>1.1.3.3 Establecer lo que queda fuera del alcance</t>
  </si>
  <si>
    <t>Se fija y se deja acordado lo que queda fuera del alcance.</t>
  </si>
  <si>
    <t>1.1.3.4 Documentar y aprobar el alcance</t>
  </si>
  <si>
    <t>Se registra por escrito y aprobar el alcance para dejar constancia y facilitar su consulta posterior.</t>
  </si>
  <si>
    <t>1.1.4 Elaborar cronograma</t>
  </si>
  <si>
    <t>1.1.4.1 Identificar las actividades del proyecto</t>
  </si>
  <si>
    <t>Se detecta y se listan las actividades del proyecto a partir de la información disponible.</t>
  </si>
  <si>
    <t>1.1.4.2 Estimar la duración de cada actividad</t>
  </si>
  <si>
    <t>Se calcula la duración de cada actividad con base en la información disponible del proyecto.</t>
  </si>
  <si>
    <t>1.1.4.3 Establecer la secuencia y dependencias</t>
  </si>
  <si>
    <t>Se fija y se deja acordado la secuencia y dependencias.</t>
  </si>
  <si>
    <t>1.1.4.4 Elaborar el diagrama de Gantt</t>
  </si>
  <si>
    <t>Se construye y se prepara el diagrama de Gantt.</t>
  </si>
  <si>
    <t>1.1.5 Definir premisas y restricciones</t>
  </si>
  <si>
    <t>1.1.5.1 Identificar las premisas del proyecto</t>
  </si>
  <si>
    <t>Se detecta y se listan las premisas del proyecto a partir de la información disponible.</t>
  </si>
  <si>
    <t>1.1.5.2 Identificar las restricciones técnicas y de tiempo</t>
  </si>
  <si>
    <t>Se detecta y se listan las restricciones técnicas y de tiempo a partir de la información disponible.</t>
  </si>
  <si>
    <t>1.1.5.3 Identificar restricciones de presupuesto</t>
  </si>
  <si>
    <t>Se detecta y se listan restricciones de presupuesto a partir de la información disponible.</t>
  </si>
  <si>
    <t>1.1.5.4 Documentar premisas y restricciones</t>
  </si>
  <si>
    <t>Se registra por escrito premisas y restricciones para dejar constancia y facilitar su consulta posterior.</t>
  </si>
  <si>
    <t>1.1.6 Identificar riesgos iniciales</t>
  </si>
  <si>
    <t>1.1.6.1 Identificar posibles riesgos del proyecto</t>
  </si>
  <si>
    <t>Se detecta y se listan posibles riesgos del proyecto a partir de la información disponible.</t>
  </si>
  <si>
    <t>1.1.6.2 Clasificar los riesgos según impacto y probabilidad</t>
  </si>
  <si>
    <t>Se organiza los riesgos según impacto y probabilidad en categorías según criterios definidos.</t>
  </si>
  <si>
    <t>1.1.6.3 Definir estrategias de mitigación</t>
  </si>
  <si>
    <t>Se establece con claridad estrategias de mitigación, dejando por escrito los criterios acordados.</t>
  </si>
  <si>
    <t>1.1.6.4 Documentar la matriz de riesgos</t>
  </si>
  <si>
    <t>Se registra por escrito la matriz de riesgos para dejar constancia y facilitar su consulta posterior.</t>
  </si>
  <si>
    <t>1.1.7 Estimar presupuesto</t>
  </si>
  <si>
    <t>1.1.7.1 Identificar los recursos necesarios</t>
  </si>
  <si>
    <t>Se detecta y se listan los recursos necesarios a partir de la información disponible.</t>
  </si>
  <si>
    <t>1.1.7.2 Estimar los costos de cada recurso</t>
  </si>
  <si>
    <t>Se calcula los costos de cada recurso con base en la información disponible del proyecto.</t>
  </si>
  <si>
    <t>1.1.7.3 Consolidar el presupuesto total</t>
  </si>
  <si>
    <t>Se reúne y se unifica el presupuesto total en un solo resultado coherente.</t>
  </si>
  <si>
    <t>1.1.7.4 Validar el presupuesto con los interesados</t>
  </si>
  <si>
    <t>Se revisa el presupuesto con los interesados para confirmar que cumple lo esperado antes de continuar.</t>
  </si>
  <si>
    <t>1.2.1 Asignar responsables</t>
  </si>
  <si>
    <t>1.2.1.1 Identificar los roles necesarios del equipo</t>
  </si>
  <si>
    <t>Se detecta y se listan los roles necesarios del equipo a partir de la información disponible.</t>
  </si>
  <si>
    <t>1.2.1.2 Asignar responsables a cada rol</t>
  </si>
  <si>
    <t>Se distribuye responsables a cada rol entre los responsables correspondientes.</t>
  </si>
  <si>
    <t>1.2.1.3 Definir funciones y responsabilidades</t>
  </si>
  <si>
    <t>Se establece con claridad funciones y responsabilidades, dejando por escrito los criterios acordados.</t>
  </si>
  <si>
    <t>1.2.1.4 Comunicar las asignaciones al equipo</t>
  </si>
  <si>
    <t>Se informa a los interesados sobre las asignaciones al equipo.</t>
  </si>
  <si>
    <t>1.2.2 Definir recursos</t>
  </si>
  <si>
    <t>1.2.2.1 Identificar los recursos humanos necesarios</t>
  </si>
  <si>
    <t>Se detecta y se listan los recursos humanos necesarios a partir de la información disponible.</t>
  </si>
  <si>
    <t>1.2.2.2 Identificar los recursos técnicos y materiales</t>
  </si>
  <si>
    <t>Se detecta y se listan los recursos técnicos y materiales a partir de la información disponible.</t>
  </si>
  <si>
    <t>1.2.2.3 Estimar la disponibilidad de los recursos</t>
  </si>
  <si>
    <t>Se calcula la disponibilidad de los recursos con base en la información disponible del proyecto.</t>
  </si>
  <si>
    <t>1.2.2.4 Documentar el plan de recursos</t>
  </si>
  <si>
    <t>Se registra por escrito el plan de recursos para dejar constancia y facilitar su consulta posterior.</t>
  </si>
  <si>
    <t>1.2.3 Seleccionar metodología de desarrollo</t>
  </si>
  <si>
    <t>1.2.3.1 Evaluar metodologías disponibles</t>
  </si>
  <si>
    <t>Se revisa y se analiza metodologías disponibles para determinar su estado o resultado.</t>
  </si>
  <si>
    <t>1.2.3.2 Analizar ventajas y desventajas de cada una</t>
  </si>
  <si>
    <t>Se estudia ventajas y desventajas de cada una para comprender el contexto y tomar decisiones informadas.</t>
  </si>
  <si>
    <t>1.2.3.3 Seleccionar la metodología más adecuada</t>
  </si>
  <si>
    <t>Se escoge la metodología más adecuada de entre las opciones disponibles según los criterios definidos.</t>
  </si>
  <si>
    <t>1.2.3.4 Documentar la metodología seleccionada</t>
  </si>
  <si>
    <t>Se registra por escrito la metodología seleccionada para dejar constancia y facilitar su consulta posterior.</t>
  </si>
  <si>
    <t>1.2.4 Definir herramientas de trabajo</t>
  </si>
  <si>
    <t>1.2.4.1 Identificar herramientas necesarias</t>
  </si>
  <si>
    <t>Se detecta y se listan herramientas necesarias a partir de la información disponible.</t>
  </si>
  <si>
    <t>1.2.4.2 Evaluar opciones de herramientas</t>
  </si>
  <si>
    <t>Se revisa y se analiza opciones de herramientas para determinar su estado o resultado.</t>
  </si>
  <si>
    <t>1.2.4.3 Seleccionar las herramientas a utilizar</t>
  </si>
  <si>
    <t>Se escoge las herramientas a utilizar de entre las opciones disponibles según los criterios definidos.</t>
  </si>
  <si>
    <t>1.2.4.4 Configurar el acceso a las herramientas</t>
  </si>
  <si>
    <t>Se ajustan los parámetros necesarios para dejar lista el acceso a las herramientas.</t>
  </si>
  <si>
    <t>2) Análisis de requisitos</t>
  </si>
  <si>
    <t>2.1.1 Identificar problemas</t>
  </si>
  <si>
    <t>2.1.1.1 Recopilar información con los interesados</t>
  </si>
  <si>
    <t>Se reúne la información necesaria sobre información con los interesados.</t>
  </si>
  <si>
    <t>2.1.1.2 Analizar los problemas identificados</t>
  </si>
  <si>
    <t>Se estudia los problemas identificados para comprender el contexto y tomar decisiones informadas.</t>
  </si>
  <si>
    <t>2.1.1.3 Priorizar los problemas según impacto</t>
  </si>
  <si>
    <t>Se ordena los problemas según impacto según su importancia o urgencia para el proyecto.</t>
  </si>
  <si>
    <t>2.1.1.4 Documentar los problemas identificados</t>
  </si>
  <si>
    <t>Se registra por escrito los problemas identificados para dejar constancia y facilitar su consulta posterior.</t>
  </si>
  <si>
    <t>2.1.2 Identificar necesidades de los usuarios</t>
  </si>
  <si>
    <t>2.1.2.1 Realizar entrevistas con los usuarios</t>
  </si>
  <si>
    <t>Se lleva a cabo entrevistas con los usuarios.</t>
  </si>
  <si>
    <t>2.1.2.2 Aplicar encuestas o cuestionarios</t>
  </si>
  <si>
    <t>Se pone en práctica encuestas o cuestionarios sobre el sistema o el proceso correspondiente.</t>
  </si>
  <si>
    <t>2.1.2.3 Analizar la información recopilada</t>
  </si>
  <si>
    <t>Se estudia la información recopilada para comprender el contexto y tomar decisiones informadas.</t>
  </si>
  <si>
    <t>2.1.2.4 Documentar las necesidades identificadas</t>
  </si>
  <si>
    <t>Se registra por escrito las necesidades identificadas para dejar constancia y facilitar su consulta posterior.</t>
  </si>
  <si>
    <t>2.1.3 Identificar procesos actuales</t>
  </si>
  <si>
    <t>2.1.3.1 Observar los procesos actuales</t>
  </si>
  <si>
    <t>Se hace seguimiento directo a los procesos actuales para identificar hallazgos relevantes.</t>
  </si>
  <si>
    <t>2.1.3.2 Levantar el flujo de los procesos</t>
  </si>
  <si>
    <t>Se recopila directamente con los interesados el flujo de los procesos.</t>
  </si>
  <si>
    <t>2.1.3.3 Identificar puntos de mejora</t>
  </si>
  <si>
    <t>Se detecta y se listan puntos de mejora a partir de la información disponible.</t>
  </si>
  <si>
    <t>2.1.3.4 Documentar los procesos actuales</t>
  </si>
  <si>
    <t>Se registra por escrito los procesos actuales para dejar constancia y facilitar su consulta posterior.</t>
  </si>
  <si>
    <t>2.1.4 Identificar actores del sistema</t>
  </si>
  <si>
    <t>2.1.4.1 Identificar los actores principales</t>
  </si>
  <si>
    <t>Se detecta y se listan los actores principales a partir de la información disponible.</t>
  </si>
  <si>
    <t>2.1.4.2 Identificar actores secundarios</t>
  </si>
  <si>
    <t>Se detecta y se listan actores secundarios a partir de la información disponible.</t>
  </si>
  <si>
    <t>2.1.4.3 Definir la interacción de cada actor</t>
  </si>
  <si>
    <t>Se establece con claridad la interacción de cada actor, dejando por escrito los criterios acordados.</t>
  </si>
  <si>
    <t>2.1.4.4 Documentar los actores del sistema</t>
  </si>
  <si>
    <t>Se registra por escrito los actores del sistema para dejar constancia y facilitar su consulta posterior.</t>
  </si>
  <si>
    <t>2.2.1 Definir requisitos funcionales</t>
  </si>
  <si>
    <t>2.2.1.1 Recopilar información de las funcionalidades</t>
  </si>
  <si>
    <t>Se reúne la información necesaria sobre información de las funcionalidades.</t>
  </si>
  <si>
    <t>2.2.1.2 Redactar los requisitos funcionales</t>
  </si>
  <si>
    <t>Se escribe el contenido correspondiente a los requisitos funcionales.</t>
  </si>
  <si>
    <t>2.2.1.3 Clasificar los requisitos por módulo</t>
  </si>
  <si>
    <t>Se organiza los requisitos por módulo en categorías según criterios definidos.</t>
  </si>
  <si>
    <t>2.2.1.4 Validar los requisitos con los interesados</t>
  </si>
  <si>
    <t>Se revisa los requisitos con los interesados para confirmar que cumple lo esperado antes de continuar.</t>
  </si>
  <si>
    <t>2.2.2 Definir requisitos no funcionales</t>
  </si>
  <si>
    <t>2.2.2.1 Identificar requisitos de rendimiento</t>
  </si>
  <si>
    <t>Se detecta y se listan requisitos de rendimiento a partir de la información disponible.</t>
  </si>
  <si>
    <t>2.2.2.2 Identificar requisitos de seguridad</t>
  </si>
  <si>
    <t>Se detecta y se listan requisitos de seguridad a partir de la información disponible.</t>
  </si>
  <si>
    <t>2.2.2.3 Identificar requisitos de usabilidad</t>
  </si>
  <si>
    <t>Se detecta y se listan requisitos de usabilidad a partir de la información disponible.</t>
  </si>
  <si>
    <t>2.2.2.4 Documentar los requisitos no funcionales</t>
  </si>
  <si>
    <t>Se registra por escrito los requisitos no funcionales para dejar constancia y facilitar su consulta posterior.</t>
  </si>
  <si>
    <t>2.2.3 Definir reglas de negocio</t>
  </si>
  <si>
    <t>2.2.3.1 Identificar las reglas del negocio</t>
  </si>
  <si>
    <t>Se detecta y se listan las reglas del negocio a partir de la información disponible.</t>
  </si>
  <si>
    <t>2.2.3.2 Documentar cada regla identificada</t>
  </si>
  <si>
    <t>Se registra por escrito cada regla identificada para dejar constancia y facilitar su consulta posterior.</t>
  </si>
  <si>
    <t>2.2.3.3 Validar las reglas con los interesados</t>
  </si>
  <si>
    <t>Se revisa las reglas con los interesados para confirmar que cumple lo esperado antes de continuar.</t>
  </si>
  <si>
    <t>2.2.3.4 Priorizar las reglas de negocio</t>
  </si>
  <si>
    <t>Se ordena las reglas de negocio según su importancia o urgencia para el proyecto.</t>
  </si>
  <si>
    <t>2.2.4 Definir restricciones del sistema</t>
  </si>
  <si>
    <t>2.2.4.1 Identificar restricciones técnicas</t>
  </si>
  <si>
    <t>Se detecta y se listan restricciones técnicas a partir de la información disponible.</t>
  </si>
  <si>
    <t>2.2.4.2 Identificar restricciones legales y normativas</t>
  </si>
  <si>
    <t>Se detecta y se listan restricciones legales y normativas a partir de la información disponible.</t>
  </si>
  <si>
    <t>2.2.4.3 Identificar restricciones de infraestructura</t>
  </si>
  <si>
    <t>Se detecta y se listan restricciones de infraestructura a partir de la información disponible.</t>
  </si>
  <si>
    <t>2.2.4.4 Documentar las restricciones del sistema</t>
  </si>
  <si>
    <t>Se registra por escrito las restricciones del sistema para dejar constancia y facilitar su consulta posterior.</t>
  </si>
  <si>
    <t>2.3.1 Definir casos de uso</t>
  </si>
  <si>
    <t>2.3.1.1 Identificar los casos de uso del sistema</t>
  </si>
  <si>
    <t>Se detecta y se listan los casos de uso del sistema a partir de la información disponible.</t>
  </si>
  <si>
    <t>2.3.1.2 Elaborar diagramas de casos de uso</t>
  </si>
  <si>
    <t>Se construye y se prepara diagramas de casos de uso.</t>
  </si>
  <si>
    <t>2.3.1.3 Describir el flujo de cada caso de uso</t>
  </si>
  <si>
    <t>Se explica con detalle el flujo de cada caso de uso.</t>
  </si>
  <si>
    <t>2.3.1.4 Revisar y validar los casos de uso</t>
  </si>
  <si>
    <t>Se examina y validar los casos de uso para verificar que esté correcto o completo.</t>
  </si>
  <si>
    <t>2.3.2 Elaborar historias de usuario</t>
  </si>
  <si>
    <t>2.3.2.1 Identificar las funcionalidades a documentar</t>
  </si>
  <si>
    <t>Se detecta y se listan las funcionalidades a documentar a partir de la información disponible.</t>
  </si>
  <si>
    <t>2.3.2.2 Redactar las historias de usuario</t>
  </si>
  <si>
    <t>Se escribe el contenido correspondiente a las historias de usuario.</t>
  </si>
  <si>
    <t>2.3.2.3 Definir los criterios de aceptación</t>
  </si>
  <si>
    <t>Se establece con claridad los criterios de aceptación, dejando por escrito los criterios acordados.</t>
  </si>
  <si>
    <t>2.3.2.4 Estimar el esfuerzo de cada historia</t>
  </si>
  <si>
    <t>Se calcula el esfuerzo de cada historia con base en la información disponible del proyecto.</t>
  </si>
  <si>
    <t>2.3.3 Validar requisitos con los usuarios</t>
  </si>
  <si>
    <t>2.3.3.1 Presentar los requisitos a los usuarios</t>
  </si>
  <si>
    <t>Se expone los requisitos a los usuarios ante los interesados del proyecto.</t>
  </si>
  <si>
    <t>2.3.3.2 Recopilar observaciones y comentarios</t>
  </si>
  <si>
    <t>Se reúne la información necesaria sobre observaciones y comentarios.</t>
  </si>
  <si>
    <t>2.3.3.3 Ajustar los requisitos según la retroalimentación</t>
  </si>
  <si>
    <t>Se realizan los cambios necesarios en los requisitos según la retroalimentación.</t>
  </si>
  <si>
    <t>2.3.3.4 Obtener la conformidad de los usuarios</t>
  </si>
  <si>
    <t>Se consigue la conformidad de los usuarios necesario para avanzar en la actividad.</t>
  </si>
  <si>
    <t>2.3.4 Priorizar requisitos</t>
  </si>
  <si>
    <t>2.3.4.1 Definir criterios de priorización</t>
  </si>
  <si>
    <t>Se establece con claridad criterios de priorización, dejando por escrito los criterios acordados.</t>
  </si>
  <si>
    <t>2.3.4.2 Clasificar los requisitos según prioridad</t>
  </si>
  <si>
    <t>Se organiza los requisitos según prioridad en categorías según criterios definidos.</t>
  </si>
  <si>
    <t>2.3.4.3 Consensuar la priorización con los interesados</t>
  </si>
  <si>
    <t>Se llega a un acuerdo con los interesados sobre la priorización con los interesados.</t>
  </si>
  <si>
    <t>2.3.4.4 Documentar el orden de prioridad</t>
  </si>
  <si>
    <t>Se registra por escrito el orden de prioridad para dejar constancia y facilitar su consulta posterior.</t>
  </si>
  <si>
    <t>2.3.5 Aprobar requisitos</t>
  </si>
  <si>
    <t>2.3.5.1 Consolidar el documento de requisitos</t>
  </si>
  <si>
    <t>Se reúne y se unifica el documento de requisitos en un solo resultado coherente.</t>
  </si>
  <si>
    <t>2.3.5.2 Presentar los requisitos a los interesados</t>
  </si>
  <si>
    <t>Se expone los requisitos a los interesados ante los interesados del proyecto.</t>
  </si>
  <si>
    <t>2.3.5.3 Recopilar la aprobación formal</t>
  </si>
  <si>
    <t>Se reúne la información necesaria sobre la aprobación formal.</t>
  </si>
  <si>
    <t>2.3.5.4 Establecer la línea base de requisitos</t>
  </si>
  <si>
    <t>Se fija y se deja acordado la línea base de requisitos.</t>
  </si>
  <si>
    <t>3) Diseño</t>
  </si>
  <si>
    <t>3.1.1 Seleccionar arquitectura del sistema</t>
  </si>
  <si>
    <t>3.1.1.1 Analizar los requerimientos del sistema</t>
  </si>
  <si>
    <t>Se estudia los requerimientos del sistema para comprender el contexto y tomar decisiones informadas.</t>
  </si>
  <si>
    <t>3.1.1.2 Evaluar diferentes tipos de arquitectura</t>
  </si>
  <si>
    <t>Se revisa y se analiza diferentes tipos de arquitectura para determinar su estado o resultado.</t>
  </si>
  <si>
    <t>3.1.1.3 Comparar ventajas y desventajas de las arquitecturas</t>
  </si>
  <si>
    <t>Se contrastan las opciones relacionadas con ventajas y desventajas de las arquitecturas para elegir la más adecuada.</t>
  </si>
  <si>
    <t>3.1.1.4 Seleccionar la arquitectura más adecuada</t>
  </si>
  <si>
    <t>Se escoge la arquitectura más adecuada de entre las opciones disponibles según los criterios definidos.</t>
  </si>
  <si>
    <t>3.1.2 Definir componentes del sistema</t>
  </si>
  <si>
    <t>3.1.2.1 Identificar los componentes principales</t>
  </si>
  <si>
    <t>Se detecta y se listan los componentes principales a partir de la información disponible.</t>
  </si>
  <si>
    <t>3.1.2.2 Definir responsabilidades de cada componente</t>
  </si>
  <si>
    <t>Se establece con claridad responsabilidades de cada componente, dejando por escrito los criterios acordados.</t>
  </si>
  <si>
    <t>3.1.2.3 Establecer comunicación entre componentes</t>
  </si>
  <si>
    <t>Se fija y se deja acordado comunicación entre componentes.</t>
  </si>
  <si>
    <t>3.1.2.4 Documentar los componentes del sistema</t>
  </si>
  <si>
    <t>Se registra por escrito los componentes del sistema para dejar constancia y facilitar su consulta posterior.</t>
  </si>
  <si>
    <t>3.1.3 Diseñar la estructura de módulos</t>
  </si>
  <si>
    <t>3.1.3.1 Identificar módulos funcionales</t>
  </si>
  <si>
    <t>Se detecta y se listan módulos funcionales a partir de la información disponible.</t>
  </si>
  <si>
    <t>3.1.3.2 Definir funciones de cada módulo</t>
  </si>
  <si>
    <t>Se establece con claridad funciones de cada módulo, dejando por escrito los criterios acordados.</t>
  </si>
  <si>
    <t>3.1.3.3 Establecer dependencias entre módulos</t>
  </si>
  <si>
    <t>Se fija y se deja acordado dependencias entre módulos.</t>
  </si>
  <si>
    <t>3.1.3.4 Organizar la estructura general de módulos</t>
  </si>
  <si>
    <t>Se ordena y se estructura la estructura general de módulos.</t>
  </si>
  <si>
    <t>3.1.4 Seleccionar tecnologías</t>
  </si>
  <si>
    <t>3.1.4.1 Identificar tecnologías disponibles</t>
  </si>
  <si>
    <t>Se detecta y se listan tecnologías disponibles a partir de la información disponible.</t>
  </si>
  <si>
    <t>3.1.4.2 Evaluar lenguajes y frameworks</t>
  </si>
  <si>
    <t>Se revisa y se analiza lenguajes y frameworks para determinar su estado o resultado.</t>
  </si>
  <si>
    <t>3.1.4.3 Seleccionar tecnologías para frontend y backend</t>
  </si>
  <si>
    <t>Se escoge tecnologías para frontend y backend de entre las opciones disponibles según los criterios definidos.</t>
  </si>
  <si>
    <t>3.1.4.4 Seleccionar tecnologías para base de datos</t>
  </si>
  <si>
    <t>Se escoge tecnologías para base de datos de entre las opciones disponibles según los criterios definidos.</t>
  </si>
  <si>
    <t>3.2.1 Identificar entidades</t>
  </si>
  <si>
    <t>3.2.1.1 Analizar los requerimientos de información</t>
  </si>
  <si>
    <t>Se estudia los requerimientos de información para comprender el contexto y tomar decisiones informadas.</t>
  </si>
  <si>
    <t>3.2.1.2 Identificar entidades principales</t>
  </si>
  <si>
    <t>Se detecta y se listan entidades principales a partir de la información disponible.</t>
  </si>
  <si>
    <t>3.2.1.3 Definir atributos de cada entidad</t>
  </si>
  <si>
    <t>Se establece con claridad atributos de cada entidad, dejando por escrito los criterios acordados.</t>
  </si>
  <si>
    <t>3.2.1.4 Determinar identificadores de las entidades</t>
  </si>
  <si>
    <t>Se define con precisión identificadores de las entidades a partir del análisis realizado.</t>
  </si>
  <si>
    <t>3.2.2 Diseñar modelo de datos</t>
  </si>
  <si>
    <t>3.2.2.1 Elaborar el modelo entidad-relación</t>
  </si>
  <si>
    <t>Se construye y se prepara el modelo entidad-relación.</t>
  </si>
  <si>
    <t>3.2.2.2 Definir atributos y tipos de datos</t>
  </si>
  <si>
    <t>Se establece con claridad atributos y tipos de datos, dejando por escrito los criterios acordados.</t>
  </si>
  <si>
    <t>3.2.2.3 Definir claves primarias</t>
  </si>
  <si>
    <t>Se establece con claridad claves primarias, dejando por escrito los criterios acordados.</t>
  </si>
  <si>
    <t>3.2.2.4 Revisar y validar el modelo de datos</t>
  </si>
  <si>
    <t>Se examina y validar el modelo de datos para verificar que esté correcto o completo.</t>
  </si>
  <si>
    <t>3.2.3 Definir relaciones</t>
  </si>
  <si>
    <t>3.2.3.1 Identificar relaciones entre entidades</t>
  </si>
  <si>
    <t>Se detecta y se listan relaciones entre entidades a partir de la información disponible.</t>
  </si>
  <si>
    <t>3.2.3.2 Determinar cardinalidades</t>
  </si>
  <si>
    <t>Se define con precisión cardinalidades a partir del análisis realizado.</t>
  </si>
  <si>
    <t>3.2.3.3 Definir claves foráneas</t>
  </si>
  <si>
    <t>Se establece con claridad claves foráneas, dejando por escrito los criterios acordados.</t>
  </si>
  <si>
    <t>3.2.3.4 Validar la integridad de las relaciones</t>
  </si>
  <si>
    <t>Se revisa la integridad de las relaciones junto con los interesados para confirmar que cumple lo esperado antes de continuar.</t>
  </si>
  <si>
    <t>3.2.4 Definir estructura de tablas</t>
  </si>
  <si>
    <t>3.2.4.1 Crear la estructura de cada tabla</t>
  </si>
  <si>
    <t>Se genera desde cero la estructura de cada tabla.</t>
  </si>
  <si>
    <t>3.2.4.2 Definir tipos y restricciones de los campos</t>
  </si>
  <si>
    <t>Se establece con claridad tipos y restricciones de los campos, dejando por escrito los criterios acordados.</t>
  </si>
  <si>
    <t>3.2.4.3 Establecer índices necesarios</t>
  </si>
  <si>
    <t>Se fija y se deja acordado índices necesarios.</t>
  </si>
  <si>
    <t>3.2.4.4 Validar la normalización de las tablas</t>
  </si>
  <si>
    <t>Se revisa la normalización de las tablas junto con los interesados para confirmar que cumple lo esperado antes de continuar.</t>
  </si>
  <si>
    <t>3.3.1 Elaborar wireframes</t>
  </si>
  <si>
    <t>3.3.1.1 Identificar las pantallas necesarias</t>
  </si>
  <si>
    <t>Se detecta y se listan las pantallas necesarias a partir de la información disponible.</t>
  </si>
  <si>
    <t>3.3.1.2 Definir distribución de elementos</t>
  </si>
  <si>
    <t>Se establece con claridad distribución de elementos, dejando por escrito los criterios acordados.</t>
  </si>
  <si>
    <t>3.3.1.3 Elaborar wireframes de las pantallas</t>
  </si>
  <si>
    <t>Se construye y se prepara wireframes de las pantallas.</t>
  </si>
  <si>
    <t>3.3.1.4 Revisar y ajustar los wireframes</t>
  </si>
  <si>
    <t>Se examina y ajustar los wireframes para verificar que esté correcto o completo.</t>
  </si>
  <si>
    <t>3.3.2 Diseñar interfaces</t>
  </si>
  <si>
    <t>3.3.2.1 Definir estilos visuales</t>
  </si>
  <si>
    <t>Se establece con claridad estilos visuales, dejando por escrito los criterios acordados.</t>
  </si>
  <si>
    <t>3.3.2.2 Diseñar botones, formularios y componentes</t>
  </si>
  <si>
    <t>Se elabora el diseño de botones, formularios y componentes, definiendo su estructura antes de construirlo.</t>
  </si>
  <si>
    <t>3.3.2.3 Diseñar las diferentes pantallas</t>
  </si>
  <si>
    <t>Se elabora el diseño de las diferentes pantallas, definiendo su estructura antes de construirlo.</t>
  </si>
  <si>
    <t>3.3.2.4 Adaptar las interfaces a diferentes tamaños de pantalla</t>
  </si>
  <si>
    <t>Se ajusta las interfaces a diferentes tamaños de pantalla para que se ajuste a las necesidades del proyecto.</t>
  </si>
  <si>
    <t>3.3.3 Definir navegación</t>
  </si>
  <si>
    <t>3.3.3.1 Identificar las rutas de navegación</t>
  </si>
  <si>
    <t>Se detecta y se listan las rutas de navegación a partir de la información disponible.</t>
  </si>
  <si>
    <t>3.3.3.2 Definir menú y opciones de navegación</t>
  </si>
  <si>
    <t>Se establece con claridad menú y opciones de navegación, dejando por escrito los criterios acordados.</t>
  </si>
  <si>
    <t>3.3.3.3 Establecer flujo entre pantallas</t>
  </si>
  <si>
    <t>Se fija y se deja acordado flujo entre pantallas.</t>
  </si>
  <si>
    <t>3.3.3.4 Validar la navegación del sistema</t>
  </si>
  <si>
    <t>Se revisa la navegación del sistema junto con los interesados para confirmar que cumple lo esperado antes de continuar.</t>
  </si>
  <si>
    <t>3.3.4 Validar prototipos</t>
  </si>
  <si>
    <t>3.3.4.1 Revisar los prototipos con los requerimientos</t>
  </si>
  <si>
    <t>Se examina los prototipos con los requerimientos para verificar que esté correcto o completo.</t>
  </si>
  <si>
    <t>3.3.4.2 Identificar errores de diseño</t>
  </si>
  <si>
    <t>Se detecta y se listan errores de diseño a partir de la información disponible.</t>
  </si>
  <si>
    <t>3.3.4.3 Recopilar observaciones y sugerencias</t>
  </si>
  <si>
    <t>Se reúne la información necesaria sobre observaciones y sugerencias.</t>
  </si>
  <si>
    <t>3.3.4.4 Realizar ajustes finales a los prototipos</t>
  </si>
  <si>
    <t>Se lleva a cabo ajustes finales a los prototipos.</t>
  </si>
  <si>
    <t>4) Desarrollo / Implementación</t>
  </si>
  <si>
    <t>4.1.1 Configurar herramientas</t>
  </si>
  <si>
    <t>4.1.1.1 Instalar IDEs y extensiones</t>
  </si>
  <si>
    <t>Se realiza la instalación de iDEs y extensiones.</t>
  </si>
  <si>
    <t>4.1.1.2 Configurar gestores de dependencias/paquetes</t>
  </si>
  <si>
    <t>Se ajustan los parámetros necesarios para dejar lista gestores de dependencias/paquetes.</t>
  </si>
  <si>
    <t>4.1.1.3 Establecer reglas de linter y formateo de código</t>
  </si>
  <si>
    <t>Se fija y se deja acordado reglas de linter y formateo de código.</t>
  </si>
  <si>
    <t>4.1.2 Configurar repositorio</t>
  </si>
  <si>
    <t>4.1.2.1 Crear el repositorio en la plataforma (Git)</t>
  </si>
  <si>
    <t>Se genera desde cero el repositorio en la plataforma (Git).</t>
  </si>
  <si>
    <t>4.1.2.2 Definir la estrategia de ramas (ej. GitFlow)</t>
  </si>
  <si>
    <t>Se establece con claridad la estrategia de ramas (ej. GitFlow), dejando por escrito los criterios acordados.</t>
  </si>
  <si>
    <t>4.1.2.3 Asignar permisos y accesos al equipo</t>
  </si>
  <si>
    <t>Se distribuye permisos y accesos al equipo entre los responsables correspondientes.</t>
  </si>
  <si>
    <t>4.1.3 Configurar entorno de desarrollo</t>
  </si>
  <si>
    <t>4.1.3.1 Configurar variables de entorno locales (.env)</t>
  </si>
  <si>
    <t>Se ajustan los parámetros necesarios para dejar lista variables de entorno locales (.env).</t>
  </si>
  <si>
    <t>4.1.3.2 Levantar servicios en contenedores (ej. Docker)</t>
  </si>
  <si>
    <t>Se recopila directamente con los interesados servicios en contenedores (ej. Docker).</t>
  </si>
  <si>
    <t>4.1.3.3 Validar conexión con servicios de prueba</t>
  </si>
  <si>
    <t>Se revisa conexión con servicios de prueba junto con los interesados para confirmar que cumple lo esperado antes de continuar.</t>
  </si>
  <si>
    <t>4.2.1 Desarrollar módulos</t>
  </si>
  <si>
    <t>4.2.1.1 Programar la lógica de negocio (Backend)</t>
  </si>
  <si>
    <t>Se codifica y se construye la lógica de negocio (Backend).</t>
  </si>
  <si>
    <t>4.2.1.2 Escribir pruebas unitarias por módulo</t>
  </si>
  <si>
    <t>Se redacta pruebas unitarias por módulo.</t>
  </si>
  <si>
    <t>4.2.1.3 Documentar el código fuente implementado</t>
  </si>
  <si>
    <t>Se registra por escrito el código fuente implementado para dejar constancia y facilitar su consulta posterior.</t>
  </si>
  <si>
    <t>4.2.2 Implementar base de datos</t>
  </si>
  <si>
    <t>4.2.2.1 Crear scripts de migración de esquemas</t>
  </si>
  <si>
    <t>Se genera desde cero scripts de migración de esquemas.</t>
  </si>
  <si>
    <t>4.2.2.2 Configurar el ORM o gestor de consultas</t>
  </si>
  <si>
    <t>Se ajustan los parámetros necesarios para dejar lista el ORM o gestor de consultas.</t>
  </si>
  <si>
    <t>4.2.2.3 Poblar la base con datos de prueba (Seeders)</t>
  </si>
  <si>
    <t>Se cargan los datos iniciales en la base con datos de prueba (Seeders).</t>
  </si>
  <si>
    <t>4.2.3 Implementar interfaces</t>
  </si>
  <si>
    <t>4.2.3.1 Maquetar las pantallas y componentes (Frontend)</t>
  </si>
  <si>
    <t>Se construye la maqueta visual de las pantallas y componentes (Frontend).</t>
  </si>
  <si>
    <t>4.2.3.2 Conectar las vistas con las APIs</t>
  </si>
  <si>
    <t>Se integra y se enlaza las vistas con las APIs con el resto del sistema.</t>
  </si>
  <si>
    <t>4.2.3.3 Aplicar estilos y diseño responsivo</t>
  </si>
  <si>
    <t>Se pone en práctica estilos y diseño responsivo sobre el sistema o el proceso correspondiente.</t>
  </si>
  <si>
    <t>4.2.4 Implementar funcionalidades</t>
  </si>
  <si>
    <t>4.2.4.1 Desarrollar el sistema de autenticación</t>
  </si>
  <si>
    <t>Se construye el sistema de autenticación siguiendo el diseño definido previamente.</t>
  </si>
  <si>
    <t>4.2.4.2 Programar las operaciones CRUD principales</t>
  </si>
  <si>
    <t>Se codifica y se construye las operaciones CRUD principales.</t>
  </si>
  <si>
    <t>4.2.4.3 Implementar validaciones de seguridad</t>
  </si>
  <si>
    <t>Se pone en marcha validaciones de seguridad dentro del sistema.</t>
  </si>
  <si>
    <t>4.3.1 Integrar módulos</t>
  </si>
  <si>
    <t>4.3.1.1 Conectar módulos independientes entre sí</t>
  </si>
  <si>
    <t>Se integra y se enlaza módulos independientes entre sí con el resto del sistema.</t>
  </si>
  <si>
    <t>4.3.1.2 Validar el flujo de datos end-to-end</t>
  </si>
  <si>
    <t>Se revisa el flujo de datos end-to-end junto con los interesados para confirmar que cumple lo esperado antes de continuar.</t>
  </si>
  <si>
    <t>4.3.2 Integrar base de datos</t>
  </si>
  <si>
    <t>4.3.2.1 Conectar el sistema a la base de datos de staging</t>
  </si>
  <si>
    <t>Se integra y se enlaza el sistema a la base de datos de staging con el resto del sistema.</t>
  </si>
  <si>
    <t>4.3.2.2 Validar rendimiento de consultas complejas</t>
  </si>
  <si>
    <t>Se revisa rendimiento de consultas complejas junto con los interesados para confirmar que cumple lo esperado antes de continuar.</t>
  </si>
  <si>
    <t>4.3.3 Integrar servicios externos</t>
  </si>
  <si>
    <t>4.3.3.1 Configurar credenciales de APIs de terceros</t>
  </si>
  <si>
    <t>Se ajustan los parámetros necesarios para dejar lista credenciales de APIs de terceros.</t>
  </si>
  <si>
    <t>4.3.3.2 Implementar y probar el consumo de webhooks</t>
  </si>
  <si>
    <t>Se pone en marcha y probar el consumo de webhooks dentro del sistema.</t>
  </si>
  <si>
    <t>4.3.4 Resolver errores de integración</t>
  </si>
  <si>
    <t>4.3.4.1 Monitorear e identificar bugs en logs</t>
  </si>
  <si>
    <t>Se hace seguimiento continuo a e identificar bugs en logs.</t>
  </si>
  <si>
    <t>4.3.4.2 Aplicar parches de código</t>
  </si>
  <si>
    <t>Se pone en práctica parches de código sobre el sistema o el proceso correspondiente.</t>
  </si>
  <si>
    <t>4.3.4.3 Ejecutar pruebas de regresión</t>
  </si>
  <si>
    <t>Se lleva a cabo pruebas de regresión.</t>
  </si>
  <si>
    <t>5) Pruebas</t>
  </si>
  <si>
    <t>5.1.1 Definir estrategia de pruebas</t>
  </si>
  <si>
    <t>5.1.1.1 Identificar los tipos de pruebas necesarias</t>
  </si>
  <si>
    <t>Se detecta y se listan los tipos de pruebas necesarias a partir de la información disponible.</t>
  </si>
  <si>
    <t>5.1.1.2 Definir el alcance de las pruebas</t>
  </si>
  <si>
    <t>Se establece con claridad el alcance de las pruebas, dejando por escrito los criterios acordados.</t>
  </si>
  <si>
    <t>5.1.1.3 Establecer los criterios de aceptación</t>
  </si>
  <si>
    <t>Se fija y se deja acordado los criterios de aceptación.</t>
  </si>
  <si>
    <t>5.1.1.4 Documentar la estrategia de pruebas</t>
  </si>
  <si>
    <t>Se registra por escrito la estrategia de pruebas para dejar constancia y facilitar su consulta posterior.</t>
  </si>
  <si>
    <t>5.1.2 Definir casos de prueba</t>
  </si>
  <si>
    <t>5.1.2.1 Identificar los escenarios a probar</t>
  </si>
  <si>
    <t>Se detecta y se listan los escenarios a probar a partir de la información disponible.</t>
  </si>
  <si>
    <t>5.1.2.2 Redactar los casos de prueba</t>
  </si>
  <si>
    <t>Se escribe el contenido correspondiente a los casos de prueba.</t>
  </si>
  <si>
    <t>5.1.2.3 Definir los resultados esperados</t>
  </si>
  <si>
    <t>Se establece con claridad los resultados esperados, dejando por escrito los criterios acordados.</t>
  </si>
  <si>
    <t>5.1.2.4 Revisar y aprobar los casos de prueba</t>
  </si>
  <si>
    <t>Se examina y aprobar los casos de prueba para verificar que esté correcto o completo.</t>
  </si>
  <si>
    <t>5.1.3 Preparar datos de prueba</t>
  </si>
  <si>
    <t>5.1.3.1 Identificar los datos necesarios</t>
  </si>
  <si>
    <t>Se detecta y se listan los datos necesarios a partir de la información disponible.</t>
  </si>
  <si>
    <t>5.1.3.2 Generar los datos de prueba</t>
  </si>
  <si>
    <t>Se produce los datos de prueba a partir de la información disponible.</t>
  </si>
  <si>
    <t>5.1.3.3 Cargar los datos en el entorno de pruebas</t>
  </si>
  <si>
    <t>Se ingresan al sistema los datos correspondientes a los datos en el entorno de pruebas.</t>
  </si>
  <si>
    <t>5.1.3.4 Validar la consistencia de los datos</t>
  </si>
  <si>
    <t>Se revisa la consistencia de los datos junto con los interesados para confirmar que cumple lo esperado antes de continuar.</t>
  </si>
  <si>
    <t>5.2.1 Realizar pruebas unitarias</t>
  </si>
  <si>
    <t>5.2.1.1 Ejecutar pruebas por cada módulo</t>
  </si>
  <si>
    <t>Se lleva a cabo pruebas por cada módulo.</t>
  </si>
  <si>
    <t>5.2.1.2 Verificar los resultados obtenidos</t>
  </si>
  <si>
    <t>Se comprueba que los resultados obtenidos cumpla con lo esperado.</t>
  </si>
  <si>
    <t>5.2.1.3 Registrar los defectos encontrados</t>
  </si>
  <si>
    <t>Se deja constancia formal de los defectos encontrados.</t>
  </si>
  <si>
    <t>5.2.1.4 Documentar los resultados de las pruebas</t>
  </si>
  <si>
    <t>Se registra por escrito los resultados de las pruebas para dejar constancia y facilitar su consulta posterior.</t>
  </si>
  <si>
    <t>5.2.2 Realizar pruebas de integración</t>
  </si>
  <si>
    <t>5.2.2.1 Verificar la comunicación entre módulos</t>
  </si>
  <si>
    <t>Se comprueba que la comunicación entre módulos cumpla con lo esperado.</t>
  </si>
  <si>
    <t>5.2.2.2 Ejecutar los casos de prueba definidos</t>
  </si>
  <si>
    <t>Se lleva a cabo los casos de prueba definidos.</t>
  </si>
  <si>
    <t>5.2.2.3 Registrar los defectos encontrados</t>
  </si>
  <si>
    <t>5.2.2.4 Documentar los resultados obtenidos</t>
  </si>
  <si>
    <t>Se registra por escrito los resultados obtenidos para dejar constancia y facilitar su consulta posterior.</t>
  </si>
  <si>
    <t>5.2.3 Realizar pruebas funcionales</t>
  </si>
  <si>
    <t>5.2.3.1 Verificar el cumplimiento de los requisitos</t>
  </si>
  <si>
    <t>Se comprueba que el cumplimiento de los requisitos cumpla con lo esperado.</t>
  </si>
  <si>
    <t>5.2.3.2 Ejecutar los casos de prueba funcionales</t>
  </si>
  <si>
    <t>Se lleva a cabo los casos de prueba funcionales.</t>
  </si>
  <si>
    <t>5.2.3.3 Registrar los defectos encontrados</t>
  </si>
  <si>
    <t>5.2.3.4 Documentar los resultados obtenidos</t>
  </si>
  <si>
    <t>5.2.4 Realizar pruebas de usabilidad</t>
  </si>
  <si>
    <t>5.2.4.1 Definir los escenarios de uso a evaluar</t>
  </si>
  <si>
    <t>Se establece con claridad los escenarios de uso a evaluar, dejando por escrito los criterios acordados.</t>
  </si>
  <si>
    <t>5.2.4.2 Ejecutar las pruebas con usuarios reales</t>
  </si>
  <si>
    <t>Se lleva a cabo las pruebas con usuarios reales.</t>
  </si>
  <si>
    <t>5.2.4.3 Recopilar observaciones y comentarios</t>
  </si>
  <si>
    <t>5.2.4.4 Documentar los resultados obtenidos</t>
  </si>
  <si>
    <t>5.2.5 Realizar pruebas de rendimiento</t>
  </si>
  <si>
    <t>5.2.5.1 Definir los escenarios de carga a probar</t>
  </si>
  <si>
    <t>Se establece con claridad los escenarios de carga a probar, dejando por escrito los criterios acordados.</t>
  </si>
  <si>
    <t>5.2.5.2 Ejecutar las pruebas de rendimiento</t>
  </si>
  <si>
    <t>Se lleva a cabo las pruebas de rendimiento.</t>
  </si>
  <si>
    <t>5.2.5.3 Analizar los resultados obtenidos</t>
  </si>
  <si>
    <t>Se estudia los resultados obtenidos para comprender el contexto y tomar decisiones informadas.</t>
  </si>
  <si>
    <t>5.2.5.4 Documentar los resultados de rendimiento</t>
  </si>
  <si>
    <t>Se registra por escrito los resultados de rendimiento para dejar constancia y facilitar su consulta posterior.</t>
  </si>
  <si>
    <t>5.3.1 Registrar errores</t>
  </si>
  <si>
    <t>5.3.1.1 Documentar los errores encontrados</t>
  </si>
  <si>
    <t>Se registra por escrito los errores encontrados para dejar constancia y facilitar su consulta posterior.</t>
  </si>
  <si>
    <t>5.3.1.2 Clasificar los errores por severidad</t>
  </si>
  <si>
    <t>Se organiza los errores por severidad en categorías según criterios definidos.</t>
  </si>
  <si>
    <t>5.3.1.3 Asignar los errores al responsable</t>
  </si>
  <si>
    <t>Se distribuye los errores al responsable entre los responsables correspondientes.</t>
  </si>
  <si>
    <t>5.3.1.4 Dar seguimiento al estado de cada error</t>
  </si>
  <si>
    <t>Se brinda seguimiento al estado de cada error a quien corresponda.</t>
  </si>
  <si>
    <t>5.3.2 Corregir errores</t>
  </si>
  <si>
    <t>5.3.2.1 Analizar la causa raíz de cada error</t>
  </si>
  <si>
    <t>Se estudia la causa raíz de cada error para comprender el contexto y tomar decisiones informadas.</t>
  </si>
  <si>
    <t>5.3.2.2 Aplicar la corrección correspondiente</t>
  </si>
  <si>
    <t>Se pone en práctica la corrección correspondiente sobre el sistema o el proceso correspondiente.</t>
  </si>
  <si>
    <t>5.3.2.3 Probar la corrección aplicada</t>
  </si>
  <si>
    <t>Se ejecutan pruebas sobre la corrección aplicada para verificar que funcione correctamente.</t>
  </si>
  <si>
    <t>5.3.2.4 Actualizar el estado del error corregido</t>
  </si>
  <si>
    <t>Se realizan los cambios necesarios para mantener al día el estado del error corregido.</t>
  </si>
  <si>
    <t>5.3.3 Ejecutar pruebas de regresión</t>
  </si>
  <si>
    <t>5.3.3.1 Identificar los casos de prueba afectados</t>
  </si>
  <si>
    <t>Se detecta y se listan los casos de prueba afectados a partir de la información disponible.</t>
  </si>
  <si>
    <t>5.3.3.2 Ejecutar nuevamente las pruebas relacionadas</t>
  </si>
  <si>
    <t>Se lleva a cabo nuevamente las pruebas relacionadas.</t>
  </si>
  <si>
    <t>5.3.3.3 Verificar que no se generaron nuevos errores</t>
  </si>
  <si>
    <t>Se comprueba que que no se generaron nuevos errores cumpla con lo esperado.</t>
  </si>
  <si>
    <t>5.3.3.4 Documentar los resultados de la regresión</t>
  </si>
  <si>
    <t>Se registra por escrito los resultados de la regresión para dejar constancia y facilitar su consulta posterior.</t>
  </si>
  <si>
    <t>5.3.4 Validar solución final</t>
  </si>
  <si>
    <t>5.3.4.1 Verificar el cumplimiento de los requisitos</t>
  </si>
  <si>
    <t>5.3.4.2 Confirmar la corrección de todos los errores</t>
  </si>
  <si>
    <t>Se corrobora con los interesados la corrección de todos los errores.</t>
  </si>
  <si>
    <t>5.3.4.3 Obtener la aprobación de los interesados</t>
  </si>
  <si>
    <t>Se consigue la aprobación de los interesados necesario para avanzar en la actividad.</t>
  </si>
  <si>
    <t>5.3.4.4 Cerrar la fase de pruebas</t>
  </si>
  <si>
    <t>Se da por finalizado la fase de pruebas.</t>
  </si>
  <si>
    <t>6) Implementación / Despliegue</t>
  </si>
  <si>
    <t>6.1.1 Preparar entorno de producción</t>
  </si>
  <si>
    <t>6.1.1.1 Definir requerimientos del servidor de producción</t>
  </si>
  <si>
    <t>Se establece con claridad requerimientos del servidor de producción, dejando por escrito los criterios acordados.</t>
  </si>
  <si>
    <t>6.1.1.2 Preparar sistema operativo y dependencias</t>
  </si>
  <si>
    <t>Se alista con anticipación sistema operativo y dependencias.</t>
  </si>
  <si>
    <t>6.1.1.3 Configurar variables de entorno</t>
  </si>
  <si>
    <t>Se ajustan los parámetros necesarios para dejar lista variables de entorno.</t>
  </si>
  <si>
    <t>6.1.1.4 Configurar dominio y certificados SSL</t>
  </si>
  <si>
    <t>Se ajustan los parámetros necesarios para dejar lista dominio y certificados SSL.</t>
  </si>
  <si>
    <t>6.1.1.5 Realizar pruebas de conectividad del entorno</t>
  </si>
  <si>
    <t>Se lleva a cabo pruebas de conectividad del entorno.</t>
  </si>
  <si>
    <t>6.1.2 Configurar servidores</t>
  </si>
  <si>
    <t>6.1.2.1 Instalar y configurar servidor web</t>
  </si>
  <si>
    <t>Se realiza la instalación de y configurar servidor web.</t>
  </si>
  <si>
    <t>6.1.2.2 Configurar servidor de aplicaciones</t>
  </si>
  <si>
    <t>Se ajustan los parámetros necesarios para dejar lista servidor de aplicaciones.</t>
  </si>
  <si>
    <t>6.1.2.3 Configurar puertos y reglas de acceso</t>
  </si>
  <si>
    <t>Se ajustan los parámetros necesarios para dejar lista puertos y reglas de acceso.</t>
  </si>
  <si>
    <t>6.1.2.4 Configurar firewall del servidor</t>
  </si>
  <si>
    <t>Se ajustan los parámetros necesarios para dejar lista firewall del servidor.</t>
  </si>
  <si>
    <t>6.1.2.5 Verificar comunicación entre servidores</t>
  </si>
  <si>
    <t>Se comprueba que comunicación entre servidores cumpla con lo esperado.</t>
  </si>
  <si>
    <t>6.1.3 Configurar base de datos</t>
  </si>
  <si>
    <t>6.1.3.1 Instalar el motor de base de datos</t>
  </si>
  <si>
    <t>Se realiza la instalación de el motor de base de datos.</t>
  </si>
  <si>
    <t>6.1.3.2 Crear la base de datos de producción</t>
  </si>
  <si>
    <t>Se genera desde cero la base de datos de producción.</t>
  </si>
  <si>
    <t>6.1.3.3 Crear tablas y relaciones</t>
  </si>
  <si>
    <t>Se genera desde cero tablas y relaciones.</t>
  </si>
  <si>
    <t>6.1.3.4 Crear usuarios y permisos de la base de datos</t>
  </si>
  <si>
    <t>Se genera desde cero usuarios y permisos de la base de datos.</t>
  </si>
  <si>
    <t>6.1.3.5 Probar conexión entre la aplicación y la base de datos</t>
  </si>
  <si>
    <t>Se ejecutan pruebas sobre conexión entre la aplicación y la base de datos para verificar que funcione correctamente.</t>
  </si>
  <si>
    <t>6.1.4 Preparar datos iniciales</t>
  </si>
  <si>
    <t>6.1.4.1 Identificar los datos iniciales requeridos</t>
  </si>
  <si>
    <t>Se detecta y se listan los datos iniciales requeridos a partir de la información disponible.</t>
  </si>
  <si>
    <t>6.1.4.2 Preparar y validar los datos</t>
  </si>
  <si>
    <t>Se alista con anticipación y validar los datos.</t>
  </si>
  <si>
    <t>6.1.4.3 Crear registros iniciales</t>
  </si>
  <si>
    <t>Se genera desde cero registros iniciales.</t>
  </si>
  <si>
    <t>6.1.4.4 Cargar datos en la base de datos</t>
  </si>
  <si>
    <t>Se ingresan al sistema los datos correspondientes a datos en la base de datos.</t>
  </si>
  <si>
    <t>6.1.4.5 Verificar integridad de los datos cargados</t>
  </si>
  <si>
    <t>Se comprueba que integridad de los datos cargados cumpla con lo esperado.</t>
  </si>
  <si>
    <t>6.2.1 Instalar el sistema</t>
  </si>
  <si>
    <t>6.2.1.1 Preparar los archivos de la versión final</t>
  </si>
  <si>
    <t>Se alista con anticipación los archivos de la versión final.</t>
  </si>
  <si>
    <t>6.2.1.2 Transferir la aplicación al servidor</t>
  </si>
  <si>
    <t>Se traslada la aplicación al servidor al ambiente o responsable correspondiente.</t>
  </si>
  <si>
    <t>6.2.1.3 Instalar dependencias del sistema</t>
  </si>
  <si>
    <t>Se realiza la instalación de dependencias del sistema.</t>
  </si>
  <si>
    <t>6.2.1.4 Configurar la aplicación para producción</t>
  </si>
  <si>
    <t>Se ajustan los parámetros necesarios para dejar lista la aplicación para producción.</t>
  </si>
  <si>
    <t>6.2.1.5 Iniciar los servicios de la aplicación</t>
  </si>
  <si>
    <t>Se da inicio formal a los servicios de la aplicación.</t>
  </si>
  <si>
    <t>6.2.2 Migrar datos</t>
  </si>
  <si>
    <t>6.2.2.1 Realizar copia de seguridad de los datos existentes</t>
  </si>
  <si>
    <t>Se lleva a cabo copia de seguridad de los datos existentes.</t>
  </si>
  <si>
    <t>6.2.2.2 Preparar los datos para la migración</t>
  </si>
  <si>
    <t>Se alista con anticipación los datos para la migración.</t>
  </si>
  <si>
    <t>6.2.2.3 Ejecutar la migración</t>
  </si>
  <si>
    <t>Se lleva a cabo la migración.</t>
  </si>
  <si>
    <t>6.2.2.4 Validar los datos migrados</t>
  </si>
  <si>
    <t>Se revisa los datos migrados junto con los interesados para confirmar que cumple lo esperado antes de continuar.</t>
  </si>
  <si>
    <t>6.2.2.5 Corregir inconsistencias encontradas</t>
  </si>
  <si>
    <t>Se solucionan los problemas encontrados en inconsistencias encontradas.</t>
  </si>
  <si>
    <t>6.2.3 Configurar usuarios y permisos</t>
  </si>
  <si>
    <t>6.2.3.1 Crear las cuentas de usuario</t>
  </si>
  <si>
    <t>Se genera desde cero las cuentas de usuario.</t>
  </si>
  <si>
    <t>6.2.3.2 Asignar roles a los usuarios</t>
  </si>
  <si>
    <t>Se distribuye roles a los usuarios entre los responsables correspondientes.</t>
  </si>
  <si>
    <t>6.2.3.3 Configurar permisos de acceso</t>
  </si>
  <si>
    <t>Se ajustan los parámetros necesarios para dejar lista permisos de acceso.</t>
  </si>
  <si>
    <t>6.2.3.4 Configurar políticas de contraseñas</t>
  </si>
  <si>
    <t>Se ajustan los parámetros necesarios para dejar lista políticas de contraseñas.</t>
  </si>
  <si>
    <t>6.2.3.5 Verificar el acceso según cada rol</t>
  </si>
  <si>
    <t>Se comprueba que el acceso según cada rol cumpla con lo esperado.</t>
  </si>
  <si>
    <t>6.2.4 Verificar funcionamiento en producción</t>
  </si>
  <si>
    <t>6.2.4.1 Realizar pruebas de acceso al sistema</t>
  </si>
  <si>
    <t>Se lleva a cabo pruebas de acceso al sistema.</t>
  </si>
  <si>
    <t>6.2.4.2 Verificar funcionamiento de los módulos</t>
  </si>
  <si>
    <t>Se comprueba que funcionamiento de los módulos cumpla con lo esperado.</t>
  </si>
  <si>
    <t>6.2.4.3 Verificar conexión con la base de datos</t>
  </si>
  <si>
    <t>Se comprueba que conexión con la base de datos cumpla con lo esperado.</t>
  </si>
  <si>
    <t>6.2.4.4 Comprobar rendimiento del sistema</t>
  </si>
  <si>
    <t>Se verifica que rendimiento del sistema funcione como se espera.</t>
  </si>
  <si>
    <t>6.2.4.5 Registrar y corregir errores encontrados</t>
  </si>
  <si>
    <t>Se deja constancia formal de y corregir errores encontrados.</t>
  </si>
  <si>
    <t>6.3.1 Elaborar manuales</t>
  </si>
  <si>
    <t>6.3.1.1 Identificar los procesos que requieren documentación</t>
  </si>
  <si>
    <t>Se detecta y se listan los procesos que requieren documentación a partir de la información disponible.</t>
  </si>
  <si>
    <t>6.3.1.2 Elaborar manual de usuario</t>
  </si>
  <si>
    <t>Se construye y se prepara manual de usuario.</t>
  </si>
  <si>
    <t>6.3.1.3 Elaborar manual de administración</t>
  </si>
  <si>
    <t>Se construye y se prepara manual de administración.</t>
  </si>
  <si>
    <t>6.3.1.4 Incluir capturas y ejemplos de uso</t>
  </si>
  <si>
    <t>Se incorpora capturas y ejemplos de uso dentro del alcance correspondiente.</t>
  </si>
  <si>
    <t>6.3.1.5 Revisar y aprobar los manuales</t>
  </si>
  <si>
    <t>Se examina y aprobar los manuales para verificar que esté correcto o completo.</t>
  </si>
  <si>
    <t>6.3.2 Capacitar usuarios</t>
  </si>
  <si>
    <t>6.3.2.1 Identificar los grupos de usuarios</t>
  </si>
  <si>
    <t>Se detecta y se listan los grupos de usuarios a partir de la información disponible.</t>
  </si>
  <si>
    <t>6.3.2.2 Preparar las sesiones de capacitación</t>
  </si>
  <si>
    <t>Se alista con anticipación las sesiones de capacitación.</t>
  </si>
  <si>
    <t>6.3.2.3 Capacitar a los usuarios en el uso del sistema</t>
  </si>
  <si>
    <t>Se realiza la capacitación correspondiente sobre a los usuarios en el uso del sistema.</t>
  </si>
  <si>
    <t>6.3.2.4 Realizar ejercicios prácticos</t>
  </si>
  <si>
    <t>Se lleva a cabo ejercicios prácticos.</t>
  </si>
  <si>
    <t>6.3.2.5 Evaluar el aprendizaje de los usuarios</t>
  </si>
  <si>
    <t>Se revisa y se analiza el aprendizaje de los usuarios para determinar su estado o resultado.</t>
  </si>
  <si>
    <t>6.3.3 Brindar soporte inicial</t>
  </si>
  <si>
    <t>6.3.3.1 Recibir solicitudes y reportes de los usuarios</t>
  </si>
  <si>
    <t>Se recopila solicitudes y reportes de los usuarios proveniente de los interesados o del sistema.</t>
  </si>
  <si>
    <t>6.3.3.2 Clasificar los incidentes reportados</t>
  </si>
  <si>
    <t>Se organiza los incidentes reportados en categorías según criterios definidos.</t>
  </si>
  <si>
    <t>6.3.3.3 Resolver problemas de configuración o uso</t>
  </si>
  <si>
    <t>Se da solución a problemas de configuración o uso.</t>
  </si>
  <si>
    <t>6.3.3.4 Registrar las incidencias y soluciones</t>
  </si>
  <si>
    <t>Se deja constancia formal de las incidencias y soluciones.</t>
  </si>
  <si>
    <t>6.3.3.5 Realizar seguimiento a los problemas pendientes</t>
  </si>
  <si>
    <t>Se lleva a cabo seguimiento a los problemas pendientes.</t>
  </si>
  <si>
    <t>7) Mantenimiento</t>
  </si>
  <si>
    <t>7.1.1 Supervisar funcionamiento</t>
  </si>
  <si>
    <t>7.1.1.1 Revisar el estado general del sistema</t>
  </si>
  <si>
    <t>Se examina el estado general del sistema para verificar que esté correcto o completo.</t>
  </si>
  <si>
    <t>7.1.1.2 Verificar el funcionamiento de los módulos</t>
  </si>
  <si>
    <t>Se comprueba que el funcionamiento de los módulos cumpla con lo esperado.</t>
  </si>
  <si>
    <t>7.1.1.3 Revisar los registros (logs) del sistema</t>
  </si>
  <si>
    <t>Se examina los registros (logs) del sistema para verificar que esté correcto o completo.</t>
  </si>
  <si>
    <t>7.1.1.4 Documentar las observaciones encontradas</t>
  </si>
  <si>
    <t>Se registra por escrito las observaciones encontradas para dejar constancia y facilitar su consulta posterior.</t>
  </si>
  <si>
    <t>7.1.2 Monitorear rendimiento</t>
  </si>
  <si>
    <t>7.1.2.1 Revisar el consumo de recursos del servidor</t>
  </si>
  <si>
    <t>Se examina el consumo de recursos del servidor para verificar que esté correcto o completo.</t>
  </si>
  <si>
    <t>7.1.2.2 Analizar los tiempos de respuesta</t>
  </si>
  <si>
    <t>Se estudia los tiempos de respuesta para comprender el contexto y tomar decisiones informadas.</t>
  </si>
  <si>
    <t>7.1.2.3 Identificar cuellos de botella</t>
  </si>
  <si>
    <t>Se detecta y se listan cuellos de botella a partir de la información disponible.</t>
  </si>
  <si>
    <t>7.1.2.4 Generar reportes de rendimiento</t>
  </si>
  <si>
    <t>Se produce reportes de rendimiento a partir de la información disponible.</t>
  </si>
  <si>
    <t>7.1.3 Detectar incidentes</t>
  </si>
  <si>
    <t>7.1.3.1 Revisar alertas y notificaciones del sistema</t>
  </si>
  <si>
    <t>Se examina alertas y notificaciones del sistema para verificar que esté correcto o completo.</t>
  </si>
  <si>
    <t>7.1.3.2 Identificar posibles fallas o incidentes</t>
  </si>
  <si>
    <t>Se detecta y se listan posibles fallas o incidentes a partir de la información disponible.</t>
  </si>
  <si>
    <t>7.1.3.3 Clasificar los incidentes según severidad</t>
  </si>
  <si>
    <t>Se organiza los incidentes según severidad en categorías según criterios definidos.</t>
  </si>
  <si>
    <t>7.1.3.4 Registrar los incidentes detectados</t>
  </si>
  <si>
    <t>Se deja constancia formal de los incidentes detectados.</t>
  </si>
  <si>
    <t>7.2.1 Corregir errores</t>
  </si>
  <si>
    <t>7.2.1.1 Analizar los errores reportados</t>
  </si>
  <si>
    <t>Se estudia los errores reportados para comprender el contexto y tomar decisiones informadas.</t>
  </si>
  <si>
    <t>7.2.1.2 Diagnosticar la causa del error</t>
  </si>
  <si>
    <t>Se identifica la causa de la causa del error.</t>
  </si>
  <si>
    <t>7.2.1.3 Aplicar la corrección correspondiente</t>
  </si>
  <si>
    <t>7.2.1.4 Verificar y documentar la solución</t>
  </si>
  <si>
    <t>Se comprueba que y documentar la solución cumpla con lo esperado.</t>
  </si>
  <si>
    <t>7.2.2 Aplicar actualizaciones</t>
  </si>
  <si>
    <t>7.2.2.1 Identificar las actualizaciones disponibles</t>
  </si>
  <si>
    <t>Se detecta y se listan las actualizaciones disponibles a partir de la información disponible.</t>
  </si>
  <si>
    <t>7.2.2.2 Evaluar el impacto de la actualización</t>
  </si>
  <si>
    <t>Se revisa y se analiza el impacto de la actualización para determinar su estado o resultado.</t>
  </si>
  <si>
    <t>7.2.2.3 Aplicar la actualización en un entorno de pruebas</t>
  </si>
  <si>
    <t>Se pone en práctica la actualización en un entorno de pruebas sobre el sistema o el proceso correspondiente.</t>
  </si>
  <si>
    <t>7.2.2.4 Desplegar la actualización en producción</t>
  </si>
  <si>
    <t>Se publica la actualización en producción en el ambiente correspondiente para que quede disponible.</t>
  </si>
  <si>
    <t>7.2.3 Realizar mantenimiento preventivo</t>
  </si>
  <si>
    <t>7.2.3.1 Revisar el estado de los componentes del sistema</t>
  </si>
  <si>
    <t>Se examina el estado de los componentes del sistema para verificar que esté correcto o completo.</t>
  </si>
  <si>
    <t>7.2.3.2 Optimizar consultas y procesos</t>
  </si>
  <si>
    <t>Se mejora el desempeño de consultas y procesos.</t>
  </si>
  <si>
    <t>7.2.3.3 Depurar registros e información obsoleta</t>
  </si>
  <si>
    <t>Se revisan y se corrigen los errores presentes en registros e información obsoleta.</t>
  </si>
  <si>
    <t>7.2.3.4 Documentar las tareas realizadas</t>
  </si>
  <si>
    <t>Se registra por escrito las tareas realizadas para dejar constancia y facilitar su consulta posterior.</t>
  </si>
  <si>
    <t>7.2.4 Gestionar cambios</t>
  </si>
  <si>
    <t>7.2.4.1 Recibir y registrar la solicitud de cambio</t>
  </si>
  <si>
    <t>Se recopila y registrar la solicitud de cambio proveniente de los interesados o del sistema.</t>
  </si>
  <si>
    <t>7.2.4.2 Evaluar el impacto del cambio</t>
  </si>
  <si>
    <t>Se revisa y se analiza el impacto del cambio para determinar su estado o resultado.</t>
  </si>
  <si>
    <t>7.2.4.3 Aprobar e implementar el cambio</t>
  </si>
  <si>
    <t>Se obtiene la aprobación formal de e implementar el cambio.</t>
  </si>
  <si>
    <t>7.2.4.4 Documentar el cambio realizado</t>
  </si>
  <si>
    <t>Se registra por escrito el cambio realizado para dejar constancia y facilitar su consulta posterior.</t>
  </si>
  <si>
    <t>7.3.1 Recopilar retroalimentación</t>
  </si>
  <si>
    <t>7.3.1.1 Recopilar comentarios de los usuarios</t>
  </si>
  <si>
    <t>Se reúne la información necesaria sobre comentarios de los usuarios.</t>
  </si>
  <si>
    <t>7.3.1.2 Analizar las sugerencias recibidas</t>
  </si>
  <si>
    <t>Se estudia las sugerencias recibidas para comprender el contexto y tomar decisiones informadas.</t>
  </si>
  <si>
    <t>7.3.1.3 Priorizar las mejoras propuestas</t>
  </si>
  <si>
    <t>Se ordena las mejoras propuestas según su importancia o urgencia para el proyecto.</t>
  </si>
  <si>
    <t>7.3.1.4 Documentar la retroalimentación recopilada</t>
  </si>
  <si>
    <t>Se registra por escrito la retroalimentación recopilada para dejar constancia y facilitar su consulta posterior.</t>
  </si>
  <si>
    <t>7.3.2 Analizar nuevas necesidades</t>
  </si>
  <si>
    <t>7.3.2.1 Identificar nuevas necesidades del negocio</t>
  </si>
  <si>
    <t>Se detecta y se listan nuevas necesidades del negocio a partir de la información disponible.</t>
  </si>
  <si>
    <t>7.3.2.2 Evaluar la viabilidad de implementarlas</t>
  </si>
  <si>
    <t>Se revisa y se analiza la viabilidad de implementarlas para determinar su estado o resultado.</t>
  </si>
  <si>
    <t>7.3.2.3 Estimar el esfuerzo requerido</t>
  </si>
  <si>
    <t>Se calcula el esfuerzo requerido con base en la información disponible del proyecto.</t>
  </si>
  <si>
    <t>7.3.2.4 Documentar las nuevas necesidades</t>
  </si>
  <si>
    <t>Se registra por escrito las nuevas necesidades para dejar constancia y facilitar su consulta posterior.</t>
  </si>
  <si>
    <t>7.3.3 Implementar mejoras</t>
  </si>
  <si>
    <t>7.3.3.1 Diseñar la solución de la mejora</t>
  </si>
  <si>
    <t>Se elabora el diseño de la solución de la mejora, definiendo su estructura antes de construirlo.</t>
  </si>
  <si>
    <t>7.3.3.2 Desarrollar la mejora planteada</t>
  </si>
  <si>
    <t>Se construye la mejora planteada siguiendo el diseño definido previamente.</t>
  </si>
  <si>
    <t>7.3.3.3 Probar la mejora implementada</t>
  </si>
  <si>
    <t>Se ejecutan pruebas sobre la mejora implementada para verificar que funcione correctamente.</t>
  </si>
  <si>
    <t>7.3.3.4 Desplegar la mejora en producción</t>
  </si>
  <si>
    <t>Se publica la mejora en producción en el ambiente correspondiente para que quede disponible.</t>
  </si>
  <si>
    <t>7.3.4 Evaluar nuevas versiones</t>
  </si>
  <si>
    <t>7.3.4.1 Investigar nuevas versiones o tecnologías</t>
  </si>
  <si>
    <t>Se indaga y se recopila información sobre nuevas versiones o tecnologías.</t>
  </si>
  <si>
    <t>7.3.4.2 Evaluar beneficios y riesgos de la migración</t>
  </si>
  <si>
    <t>Se revisa y se analiza beneficios y riesgos de la migración para determinar su estado o resultado.</t>
  </si>
  <si>
    <t>7.3.4.3 Realizar pruebas piloto de la nueva versión</t>
  </si>
  <si>
    <t>Se lleva a cabo pruebas piloto de la nueva versión.</t>
  </si>
  <si>
    <t>7.3.4.4 Documentar la recomendación final</t>
  </si>
  <si>
    <t>Se registra por escrito la recomendación final para dejar constancia y facilitar su consulta posterior.</t>
  </si>
  <si>
    <t>RECURSOS Y OPERACIÓN</t>
  </si>
  <si>
    <t>Computadores personales</t>
  </si>
  <si>
    <t>Equipos propios de los seis integrantes del equipo (6 equipos); no representan costo adicional.</t>
  </si>
  <si>
    <t>Internet y energía</t>
  </si>
  <si>
    <t>Consumo doméstico de internet y energía eléctrica durante el desarrollo del proyecto.</t>
  </si>
  <si>
    <t>Herramientas de desarrollo</t>
  </si>
  <si>
    <t>Visual Studio Code, Git, GitHub, Figma, draw.io y similares, bajo licencias gratuitas.</t>
  </si>
  <si>
    <t>Base de datos y backend</t>
  </si>
  <si>
    <t>Firebase, Supabase o servicio equivalente en plan gratuito.</t>
  </si>
  <si>
    <t>Almacenamiento de fotografías</t>
  </si>
  <si>
    <t>Espacio para evidencias fotográficas en plan gratuito o básico.</t>
  </si>
  <si>
    <t>Hosting y publicación web</t>
  </si>
  <si>
    <t>Despliegue del panel administrativo o backend del sistema.</t>
  </si>
  <si>
    <t>Dominio</t>
  </si>
  <si>
    <t>Dominio opcional para presentar el sistema.</t>
  </si>
  <si>
    <t>Cuenta Google Play</t>
  </si>
  <si>
    <t>Cuenta de desarrollador, solo si se publica oficialmente la app en Android.</t>
  </si>
  <si>
    <t>Dispositivos móviles para pruebas</t>
  </si>
  <si>
    <t>Celulares de los integrantes o familiares, sin costo adicional.</t>
  </si>
  <si>
    <t>Material de presentación</t>
  </si>
  <si>
    <t>Impresiones, carteles, transporte y elementos para la sustentación.</t>
  </si>
  <si>
    <t>SUBTOTAL</t>
  </si>
  <si>
    <t>Contingencia (10% del subtotal)</t>
  </si>
  <si>
    <t>TOTAL ESTIMADO DEL PROYECTO</t>
  </si>
  <si>
    <t>Cronograma: inicio 19/08/2026 — fin estimado 25/02/2027 (≈190 días calendario, 20 h/día de dedicación combinada del equipo). Cada bloque conserva su hora y su valor total sin dividir entre las actividades de Nivel 4 que lo componen.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</si>
</sst>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 &quot;#,##0.00"/>
    <numFmt numFmtId="165" formatCode="dd/mm/yyyy"/>
    <numFmt numFmtId="166" formatCode="&quot;$ &quot;#,##0"/>
  </numFmts>
  <fonts count="8" x14ac:knownFonts="1">
    <font>
      <sz val="11"/>
      <color theme="1"/>
      <name val="Calibri"/>
      <family val="2"/>
      <charset val="1"/>
    </font>
    <font>
      <b/>
      <sz val="20"/>
      <color rgb="FF404040"/>
      <name val="Arial"/>
      <charset val="1"/>
    </font>
    <font>
      <i/>
      <sz val="10"/>
      <color rgb="FFC0522A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B45F06"/>
      <name val="Arial"/>
      <charset val="1"/>
    </font>
    <font>
      <b/>
      <sz val="10"/>
      <name val="Arial"/>
      <charset val="1"/>
    </font>
    <font>
      <i/>
      <sz val="9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3B4B63"/>
        <bgColor rgb="FF404040"/>
      </patternFill>
    </fill>
    <fill>
      <patternFill patternType="solid">
        <fgColor rgb="FFAFC3DD"/>
        <bgColor rgb="FFB8CCE4"/>
      </patternFill>
    </fill>
    <fill>
      <patternFill patternType="solid">
        <fgColor rgb="FFB8CCE4"/>
        <bgColor rgb="FFAFC3DD"/>
      </patternFill>
    </fill>
    <fill>
      <patternFill patternType="solid">
        <fgColor rgb="FFFCE9C6"/>
        <bgColor rgb="FFE7E7E7"/>
      </patternFill>
    </fill>
    <fill>
      <patternFill patternType="solid">
        <fgColor rgb="FFDCE4F2"/>
        <bgColor rgb="FFE7E7E7"/>
      </patternFill>
    </fill>
    <fill>
      <patternFill patternType="solid">
        <fgColor rgb="FFE7E7E7"/>
        <bgColor rgb="FFDCE4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3">
    <xf numFmtId="0" fontId="0" fillId="0" borderId="0" xfId="0"/>
    <xf numFmtId="166" fontId="0" fillId="7" borderId="1" xfId="0" applyNumberForma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6" fillId="6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165" fontId="0" fillId="0" borderId="1" xfId="0" applyNumberFormat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0" fontId="4" fillId="0" borderId="1" xfId="0" applyFont="1" applyBorder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/>
    <xf numFmtId="0" fontId="0" fillId="2" borderId="1" xfId="0" applyFill="1" applyBorder="1"/>
    <xf numFmtId="3" fontId="3" fillId="2" borderId="1" xfId="0" applyNumberFormat="1" applyFont="1" applyFill="1" applyBorder="1"/>
    <xf numFmtId="166" fontId="3" fillId="2" borderId="1" xfId="0" applyNumberFormat="1" applyFont="1" applyFill="1" applyBorder="1"/>
    <xf numFmtId="0" fontId="0" fillId="6" borderId="1" xfId="0" applyFill="1" applyBorder="1"/>
    <xf numFmtId="166" fontId="6" fillId="6" borderId="1" xfId="0" applyNumberFormat="1" applyFont="1" applyFill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45F06"/>
      <rgbColor rgb="FF800080"/>
      <rgbColor rgb="FF008080"/>
      <rgbColor rgb="FFB7B7B7"/>
      <rgbColor rgb="FF808080"/>
      <rgbColor rgb="FF9999FF"/>
      <rgbColor rgb="FF993366"/>
      <rgbColor rgb="FFFCE9C6"/>
      <rgbColor rgb="FFDCE4F2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7E7"/>
      <rgbColor rgb="FFCCFFCC"/>
      <rgbColor rgb="FFFFFF99"/>
      <rgbColor rgb="FFAFC3D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0522A"/>
      <rgbColor rgb="FF993366"/>
      <rgbColor rgb="FF3B4B6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1"/>
  <sheetViews>
    <sheetView tabSelected="1" zoomScaleNormal="100" workbookViewId="0">
      <pane ySplit="5" topLeftCell="A6" activePane="bottomLeft" state="frozen"/>
      <selection pane="bottomLeft" activeCell="S5" sqref="S5"/>
    </sheetView>
  </sheetViews>
  <sheetFormatPr baseColWidth="10" defaultColWidth="8.7109375" defaultRowHeight="15" x14ac:dyDescent="0.25"/>
  <cols>
    <col min="1" max="1" width="34" customWidth="1"/>
    <col min="2" max="2" width="46" customWidth="1"/>
    <col min="3" max="4" width="13" customWidth="1"/>
    <col min="5" max="5" width="12" customWidth="1"/>
    <col min="6" max="6" width="13" customWidth="1"/>
    <col min="7" max="7" width="8" customWidth="1"/>
    <col min="8" max="8" width="10" customWidth="1"/>
    <col min="9" max="9" width="12" customWidth="1"/>
    <col min="10" max="10" width="9" customWidth="1"/>
    <col min="11" max="11" width="10" customWidth="1"/>
    <col min="12" max="12" width="12" customWidth="1"/>
    <col min="13" max="14" width="9" customWidth="1"/>
    <col min="15" max="15" width="11" customWidth="1"/>
    <col min="16" max="16" width="13" customWidth="1"/>
    <col min="17" max="17" width="11" customWidth="1"/>
    <col min="18" max="18" width="14" customWidth="1"/>
  </cols>
  <sheetData>
    <row r="1" spans="1:18" ht="26.25" x14ac:dyDescent="0.4">
      <c r="A1" s="14" t="s">
        <v>0</v>
      </c>
      <c r="B1" s="14"/>
      <c r="C1" s="14"/>
      <c r="D1" s="14"/>
      <c r="E1" s="14"/>
      <c r="F1" s="14"/>
    </row>
    <row r="2" spans="1:18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spans="1:18" ht="15" customHeight="1" x14ac:dyDescent="0.25">
      <c r="G4" s="12" t="s">
        <v>1</v>
      </c>
      <c r="H4" s="12"/>
      <c r="I4" s="12"/>
      <c r="J4" s="12" t="s">
        <v>2</v>
      </c>
      <c r="K4" s="12"/>
      <c r="L4" s="12"/>
      <c r="M4" s="12" t="s">
        <v>3</v>
      </c>
      <c r="N4" s="12"/>
      <c r="O4" s="12"/>
      <c r="P4" s="12" t="s">
        <v>4</v>
      </c>
      <c r="Q4" s="12"/>
      <c r="R4" s="12"/>
    </row>
    <row r="5" spans="1:18" ht="39.75" customHeight="1" x14ac:dyDescent="0.25">
      <c r="A5" s="15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5" t="s">
        <v>11</v>
      </c>
      <c r="H5" s="15" t="s">
        <v>12</v>
      </c>
      <c r="I5" s="15" t="s">
        <v>13</v>
      </c>
      <c r="J5" s="15" t="s">
        <v>14</v>
      </c>
      <c r="K5" s="15" t="s">
        <v>15</v>
      </c>
      <c r="L5" s="15" t="s">
        <v>16</v>
      </c>
      <c r="M5" s="15" t="s">
        <v>17</v>
      </c>
      <c r="N5" s="15" t="s">
        <v>18</v>
      </c>
      <c r="O5" s="15" t="s">
        <v>19</v>
      </c>
      <c r="P5" s="15" t="s">
        <v>20</v>
      </c>
      <c r="Q5" s="15" t="s">
        <v>21</v>
      </c>
      <c r="R5" s="15" t="s">
        <v>22</v>
      </c>
    </row>
    <row r="6" spans="1:18" ht="15" customHeight="1" x14ac:dyDescent="0.25">
      <c r="A6" s="11" t="s">
        <v>23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15" customHeight="1" x14ac:dyDescent="0.25">
      <c r="A7" s="10" t="s">
        <v>24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9">
        <v>205000</v>
      </c>
      <c r="Q7" s="9"/>
      <c r="R7" s="9"/>
    </row>
    <row r="8" spans="1:18" ht="24" x14ac:dyDescent="0.25">
      <c r="A8" s="16" t="s">
        <v>25</v>
      </c>
      <c r="B8" s="16" t="s">
        <v>26</v>
      </c>
      <c r="C8" s="17" t="s">
        <v>27</v>
      </c>
      <c r="D8" s="8">
        <v>46253</v>
      </c>
      <c r="E8" s="7"/>
      <c r="F8" s="8">
        <v>46253</v>
      </c>
      <c r="G8" s="6">
        <v>2</v>
      </c>
      <c r="H8" s="5">
        <v>102500</v>
      </c>
      <c r="I8" s="4">
        <f>G8*H8</f>
        <v>205000</v>
      </c>
      <c r="J8" s="7"/>
      <c r="K8" s="7"/>
      <c r="L8" s="3">
        <v>0</v>
      </c>
      <c r="M8" s="5">
        <v>0</v>
      </c>
      <c r="N8" s="5">
        <v>0</v>
      </c>
      <c r="O8" s="5">
        <v>0</v>
      </c>
      <c r="P8" s="2">
        <f>I8+L8+M8+N8+O8</f>
        <v>205000</v>
      </c>
      <c r="Q8" s="1">
        <v>0</v>
      </c>
      <c r="R8" s="1">
        <f>P8-Q8</f>
        <v>205000</v>
      </c>
    </row>
    <row r="9" spans="1:18" ht="24" x14ac:dyDescent="0.25">
      <c r="A9" s="16" t="s">
        <v>28</v>
      </c>
      <c r="B9" s="16" t="s">
        <v>29</v>
      </c>
      <c r="C9" s="17" t="s">
        <v>27</v>
      </c>
      <c r="D9" s="8"/>
      <c r="E9" s="8"/>
      <c r="F9" s="8"/>
      <c r="G9" s="8"/>
      <c r="H9" s="8"/>
      <c r="I9" s="4"/>
      <c r="J9" s="7"/>
      <c r="K9" s="7"/>
      <c r="L9" s="3"/>
      <c r="M9" s="5"/>
      <c r="N9" s="5"/>
      <c r="O9" s="5"/>
      <c r="P9" s="5"/>
      <c r="Q9" s="1"/>
      <c r="R9" s="1"/>
    </row>
    <row r="10" spans="1:18" ht="24" x14ac:dyDescent="0.25">
      <c r="A10" s="16" t="s">
        <v>30</v>
      </c>
      <c r="B10" s="16" t="s">
        <v>31</v>
      </c>
      <c r="C10" s="17" t="s">
        <v>27</v>
      </c>
      <c r="D10" s="8"/>
      <c r="E10" s="8"/>
      <c r="F10" s="8"/>
      <c r="G10" s="8"/>
      <c r="H10" s="8"/>
      <c r="I10" s="4"/>
      <c r="J10" s="7"/>
      <c r="K10" s="7"/>
      <c r="L10" s="3"/>
      <c r="M10" s="5"/>
      <c r="N10" s="5"/>
      <c r="O10" s="5"/>
      <c r="P10" s="5"/>
      <c r="Q10" s="1"/>
      <c r="R10" s="1"/>
    </row>
    <row r="11" spans="1:18" ht="24" x14ac:dyDescent="0.25">
      <c r="A11" s="16" t="s">
        <v>32</v>
      </c>
      <c r="B11" s="16" t="s">
        <v>33</v>
      </c>
      <c r="C11" s="17" t="s">
        <v>27</v>
      </c>
      <c r="D11" s="8"/>
      <c r="E11" s="8"/>
      <c r="F11" s="8"/>
      <c r="G11" s="8"/>
      <c r="H11" s="8"/>
      <c r="I11" s="4"/>
      <c r="J11" s="7"/>
      <c r="K11" s="7"/>
      <c r="L11" s="3"/>
      <c r="M11" s="5"/>
      <c r="N11" s="5"/>
      <c r="O11" s="5"/>
      <c r="P11" s="5"/>
      <c r="Q11" s="1"/>
      <c r="R11" s="1"/>
    </row>
    <row r="12" spans="1:18" ht="15" customHeight="1" x14ac:dyDescent="0.25">
      <c r="A12" s="10" t="s">
        <v>34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9">
        <v>102500</v>
      </c>
      <c r="Q12" s="9"/>
      <c r="R12" s="9"/>
    </row>
    <row r="13" spans="1:18" ht="24" x14ac:dyDescent="0.25">
      <c r="A13" s="16" t="s">
        <v>35</v>
      </c>
      <c r="B13" s="16" t="s">
        <v>36</v>
      </c>
      <c r="C13" s="17" t="s">
        <v>27</v>
      </c>
      <c r="D13" s="8">
        <v>46254</v>
      </c>
      <c r="E13" s="7"/>
      <c r="F13" s="8">
        <v>46254</v>
      </c>
      <c r="G13" s="6">
        <v>1</v>
      </c>
      <c r="H13" s="5">
        <v>102500</v>
      </c>
      <c r="I13" s="4">
        <f>G13*H13</f>
        <v>102500</v>
      </c>
      <c r="J13" s="7"/>
      <c r="K13" s="7"/>
      <c r="L13" s="3">
        <v>0</v>
      </c>
      <c r="M13" s="5">
        <v>0</v>
      </c>
      <c r="N13" s="5">
        <v>0</v>
      </c>
      <c r="O13" s="5">
        <v>0</v>
      </c>
      <c r="P13" s="2">
        <f>I13+L13+M13+N13+O13</f>
        <v>102500</v>
      </c>
      <c r="Q13" s="1">
        <v>0</v>
      </c>
      <c r="R13" s="1">
        <f>P13-Q13</f>
        <v>102500</v>
      </c>
    </row>
    <row r="14" spans="1:18" ht="24" x14ac:dyDescent="0.25">
      <c r="A14" s="16" t="s">
        <v>37</v>
      </c>
      <c r="B14" s="16" t="s">
        <v>38</v>
      </c>
      <c r="C14" s="17" t="s">
        <v>27</v>
      </c>
      <c r="D14" s="8"/>
      <c r="E14" s="8"/>
      <c r="F14" s="8"/>
      <c r="G14" s="8"/>
      <c r="H14" s="8"/>
      <c r="I14" s="4"/>
      <c r="J14" s="7"/>
      <c r="K14" s="7"/>
      <c r="L14" s="3"/>
      <c r="M14" s="5"/>
      <c r="N14" s="5"/>
      <c r="O14" s="5"/>
      <c r="P14" s="5"/>
      <c r="Q14" s="1"/>
      <c r="R14" s="1"/>
    </row>
    <row r="15" spans="1:18" ht="24" x14ac:dyDescent="0.25">
      <c r="A15" s="16" t="s">
        <v>39</v>
      </c>
      <c r="B15" s="16" t="s">
        <v>40</v>
      </c>
      <c r="C15" s="17" t="s">
        <v>27</v>
      </c>
      <c r="D15" s="8"/>
      <c r="E15" s="8"/>
      <c r="F15" s="8"/>
      <c r="G15" s="8"/>
      <c r="H15" s="8"/>
      <c r="I15" s="4"/>
      <c r="J15" s="7"/>
      <c r="K15" s="7"/>
      <c r="L15" s="3"/>
      <c r="M15" s="5"/>
      <c r="N15" s="5"/>
      <c r="O15" s="5"/>
      <c r="P15" s="5"/>
      <c r="Q15" s="1"/>
      <c r="R15" s="1"/>
    </row>
    <row r="16" spans="1:18" ht="24" x14ac:dyDescent="0.25">
      <c r="A16" s="16" t="s">
        <v>41</v>
      </c>
      <c r="B16" s="16" t="s">
        <v>42</v>
      </c>
      <c r="C16" s="17" t="s">
        <v>27</v>
      </c>
      <c r="D16" s="8"/>
      <c r="E16" s="8"/>
      <c r="F16" s="8"/>
      <c r="G16" s="8"/>
      <c r="H16" s="8"/>
      <c r="I16" s="4"/>
      <c r="J16" s="7"/>
      <c r="K16" s="7"/>
      <c r="L16" s="3"/>
      <c r="M16" s="5"/>
      <c r="N16" s="5"/>
      <c r="O16" s="5"/>
      <c r="P16" s="5"/>
      <c r="Q16" s="1"/>
      <c r="R16" s="1"/>
    </row>
    <row r="17" spans="1:18" ht="15" customHeight="1" x14ac:dyDescent="0.25">
      <c r="A17" s="10" t="s">
        <v>43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9">
        <v>102500</v>
      </c>
      <c r="Q17" s="9"/>
      <c r="R17" s="9"/>
    </row>
    <row r="18" spans="1:18" ht="24" x14ac:dyDescent="0.25">
      <c r="A18" s="16" t="s">
        <v>44</v>
      </c>
      <c r="B18" s="16" t="s">
        <v>45</v>
      </c>
      <c r="C18" s="17" t="s">
        <v>27</v>
      </c>
      <c r="D18" s="8">
        <v>46255</v>
      </c>
      <c r="E18" s="7"/>
      <c r="F18" s="8">
        <v>46255</v>
      </c>
      <c r="G18" s="6">
        <v>1</v>
      </c>
      <c r="H18" s="5">
        <v>102500</v>
      </c>
      <c r="I18" s="4">
        <f>G18*H18</f>
        <v>102500</v>
      </c>
      <c r="J18" s="7"/>
      <c r="K18" s="7"/>
      <c r="L18" s="3">
        <v>0</v>
      </c>
      <c r="M18" s="5">
        <v>0</v>
      </c>
      <c r="N18" s="5">
        <v>0</v>
      </c>
      <c r="O18" s="5">
        <v>0</v>
      </c>
      <c r="P18" s="2">
        <f>I18+L18+M18+N18+O18</f>
        <v>102500</v>
      </c>
      <c r="Q18" s="1">
        <v>0</v>
      </c>
      <c r="R18" s="1">
        <f>P18-Q18</f>
        <v>102500</v>
      </c>
    </row>
    <row r="19" spans="1:18" ht="24" x14ac:dyDescent="0.25">
      <c r="A19" s="16" t="s">
        <v>46</v>
      </c>
      <c r="B19" s="16" t="s">
        <v>47</v>
      </c>
      <c r="C19" s="17" t="s">
        <v>27</v>
      </c>
      <c r="D19" s="8"/>
      <c r="E19" s="8"/>
      <c r="F19" s="8"/>
      <c r="G19" s="8"/>
      <c r="H19" s="8"/>
      <c r="I19" s="4"/>
      <c r="J19" s="7"/>
      <c r="K19" s="7"/>
      <c r="L19" s="3"/>
      <c r="M19" s="5"/>
      <c r="N19" s="5"/>
      <c r="O19" s="5"/>
      <c r="P19" s="5"/>
      <c r="Q19" s="1"/>
      <c r="R19" s="1"/>
    </row>
    <row r="20" spans="1:18" ht="24" x14ac:dyDescent="0.25">
      <c r="A20" s="16" t="s">
        <v>48</v>
      </c>
      <c r="B20" s="16" t="s">
        <v>49</v>
      </c>
      <c r="C20" s="17" t="s">
        <v>27</v>
      </c>
      <c r="D20" s="8"/>
      <c r="E20" s="8"/>
      <c r="F20" s="8"/>
      <c r="G20" s="8"/>
      <c r="H20" s="8"/>
      <c r="I20" s="4"/>
      <c r="J20" s="7"/>
      <c r="K20" s="7"/>
      <c r="L20" s="3"/>
      <c r="M20" s="5"/>
      <c r="N20" s="5"/>
      <c r="O20" s="5"/>
      <c r="P20" s="5"/>
      <c r="Q20" s="1"/>
      <c r="R20" s="1"/>
    </row>
    <row r="21" spans="1:18" ht="24" x14ac:dyDescent="0.25">
      <c r="A21" s="16" t="s">
        <v>50</v>
      </c>
      <c r="B21" s="16" t="s">
        <v>51</v>
      </c>
      <c r="C21" s="17" t="s">
        <v>27</v>
      </c>
      <c r="D21" s="8"/>
      <c r="E21" s="8"/>
      <c r="F21" s="8"/>
      <c r="G21" s="8"/>
      <c r="H21" s="8"/>
      <c r="I21" s="4"/>
      <c r="J21" s="7"/>
      <c r="K21" s="7"/>
      <c r="L21" s="3"/>
      <c r="M21" s="5"/>
      <c r="N21" s="5"/>
      <c r="O21" s="5"/>
      <c r="P21" s="5"/>
      <c r="Q21" s="1"/>
      <c r="R21" s="1"/>
    </row>
    <row r="22" spans="1:18" ht="15" customHeight="1" x14ac:dyDescent="0.25">
      <c r="A22" s="10" t="s">
        <v>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9">
        <v>410000</v>
      </c>
      <c r="Q22" s="9"/>
      <c r="R22" s="9"/>
    </row>
    <row r="23" spans="1:18" ht="24" x14ac:dyDescent="0.25">
      <c r="A23" s="16" t="s">
        <v>53</v>
      </c>
      <c r="B23" s="16" t="s">
        <v>54</v>
      </c>
      <c r="C23" s="17" t="s">
        <v>27</v>
      </c>
      <c r="D23" s="8">
        <v>46258</v>
      </c>
      <c r="E23" s="7"/>
      <c r="F23" s="8">
        <v>46258</v>
      </c>
      <c r="G23" s="6">
        <v>4</v>
      </c>
      <c r="H23" s="5">
        <v>102500</v>
      </c>
      <c r="I23" s="4">
        <f>G23*H23</f>
        <v>410000</v>
      </c>
      <c r="J23" s="7"/>
      <c r="K23" s="7"/>
      <c r="L23" s="3">
        <v>0</v>
      </c>
      <c r="M23" s="5">
        <v>0</v>
      </c>
      <c r="N23" s="5">
        <v>0</v>
      </c>
      <c r="O23" s="5">
        <v>0</v>
      </c>
      <c r="P23" s="2">
        <f>I23+L23+M23+N23+O23</f>
        <v>410000</v>
      </c>
      <c r="Q23" s="1">
        <v>0</v>
      </c>
      <c r="R23" s="1">
        <f>P23-Q23</f>
        <v>410000</v>
      </c>
    </row>
    <row r="24" spans="1:18" ht="24" x14ac:dyDescent="0.25">
      <c r="A24" s="16" t="s">
        <v>55</v>
      </c>
      <c r="B24" s="16" t="s">
        <v>56</v>
      </c>
      <c r="C24" s="17" t="s">
        <v>27</v>
      </c>
      <c r="D24" s="8"/>
      <c r="E24" s="8"/>
      <c r="F24" s="8"/>
      <c r="G24" s="8"/>
      <c r="H24" s="8"/>
      <c r="I24" s="4"/>
      <c r="J24" s="7"/>
      <c r="K24" s="7"/>
      <c r="L24" s="3"/>
      <c r="M24" s="5"/>
      <c r="N24" s="5"/>
      <c r="O24" s="5"/>
      <c r="P24" s="5"/>
      <c r="Q24" s="1"/>
      <c r="R24" s="1"/>
    </row>
    <row r="25" spans="1:18" ht="24" x14ac:dyDescent="0.25">
      <c r="A25" s="16" t="s">
        <v>57</v>
      </c>
      <c r="B25" s="16" t="s">
        <v>58</v>
      </c>
      <c r="C25" s="17" t="s">
        <v>27</v>
      </c>
      <c r="D25" s="8"/>
      <c r="E25" s="8"/>
      <c r="F25" s="8"/>
      <c r="G25" s="8"/>
      <c r="H25" s="8"/>
      <c r="I25" s="4"/>
      <c r="J25" s="7"/>
      <c r="K25" s="7"/>
      <c r="L25" s="3"/>
      <c r="M25" s="5"/>
      <c r="N25" s="5"/>
      <c r="O25" s="5"/>
      <c r="P25" s="5"/>
      <c r="Q25" s="1"/>
      <c r="R25" s="1"/>
    </row>
    <row r="26" spans="1:18" x14ac:dyDescent="0.25">
      <c r="A26" s="16" t="s">
        <v>59</v>
      </c>
      <c r="B26" s="16" t="s">
        <v>60</v>
      </c>
      <c r="C26" s="17" t="s">
        <v>27</v>
      </c>
      <c r="D26" s="8"/>
      <c r="E26" s="8"/>
      <c r="F26" s="8"/>
      <c r="G26" s="8"/>
      <c r="H26" s="8"/>
      <c r="I26" s="4"/>
      <c r="J26" s="7"/>
      <c r="K26" s="7"/>
      <c r="L26" s="3"/>
      <c r="M26" s="5"/>
      <c r="N26" s="5"/>
      <c r="O26" s="5"/>
      <c r="P26" s="5"/>
      <c r="Q26" s="1"/>
      <c r="R26" s="1"/>
    </row>
    <row r="27" spans="1:18" ht="15" customHeight="1" x14ac:dyDescent="0.25">
      <c r="A27" s="10" t="s">
        <v>61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9">
        <v>205000</v>
      </c>
      <c r="Q27" s="9"/>
      <c r="R27" s="9"/>
    </row>
    <row r="28" spans="1:18" ht="24" x14ac:dyDescent="0.25">
      <c r="A28" s="16" t="s">
        <v>62</v>
      </c>
      <c r="B28" s="16" t="s">
        <v>63</v>
      </c>
      <c r="C28" s="17" t="s">
        <v>27</v>
      </c>
      <c r="D28" s="8">
        <v>46259</v>
      </c>
      <c r="E28" s="7"/>
      <c r="F28" s="8">
        <v>46259</v>
      </c>
      <c r="G28" s="6">
        <v>2</v>
      </c>
      <c r="H28" s="5">
        <v>102500</v>
      </c>
      <c r="I28" s="4">
        <f>G28*H28</f>
        <v>205000</v>
      </c>
      <c r="J28" s="7"/>
      <c r="K28" s="7"/>
      <c r="L28" s="3">
        <v>0</v>
      </c>
      <c r="M28" s="5">
        <v>0</v>
      </c>
      <c r="N28" s="5">
        <v>0</v>
      </c>
      <c r="O28" s="5">
        <v>0</v>
      </c>
      <c r="P28" s="2">
        <f>I28+L28+M28+N28+O28</f>
        <v>205000</v>
      </c>
      <c r="Q28" s="1">
        <v>0</v>
      </c>
      <c r="R28" s="1">
        <f>P28-Q28</f>
        <v>205000</v>
      </c>
    </row>
    <row r="29" spans="1:18" ht="24" x14ac:dyDescent="0.25">
      <c r="A29" s="16" t="s">
        <v>64</v>
      </c>
      <c r="B29" s="16" t="s">
        <v>65</v>
      </c>
      <c r="C29" s="17" t="s">
        <v>27</v>
      </c>
      <c r="D29" s="8"/>
      <c r="E29" s="8"/>
      <c r="F29" s="8"/>
      <c r="G29" s="8"/>
      <c r="H29" s="8"/>
      <c r="I29" s="4"/>
      <c r="J29" s="7"/>
      <c r="K29" s="7"/>
      <c r="L29" s="3"/>
      <c r="M29" s="5"/>
      <c r="N29" s="5"/>
      <c r="O29" s="5"/>
      <c r="P29" s="5"/>
      <c r="Q29" s="1"/>
      <c r="R29" s="1"/>
    </row>
    <row r="30" spans="1:18" ht="24" x14ac:dyDescent="0.25">
      <c r="A30" s="16" t="s">
        <v>66</v>
      </c>
      <c r="B30" s="16" t="s">
        <v>67</v>
      </c>
      <c r="C30" s="17" t="s">
        <v>27</v>
      </c>
      <c r="D30" s="8"/>
      <c r="E30" s="8"/>
      <c r="F30" s="8"/>
      <c r="G30" s="8"/>
      <c r="H30" s="8"/>
      <c r="I30" s="4"/>
      <c r="J30" s="7"/>
      <c r="K30" s="7"/>
      <c r="L30" s="3"/>
      <c r="M30" s="5"/>
      <c r="N30" s="5"/>
      <c r="O30" s="5"/>
      <c r="P30" s="5"/>
      <c r="Q30" s="1"/>
      <c r="R30" s="1"/>
    </row>
    <row r="31" spans="1:18" ht="24" x14ac:dyDescent="0.25">
      <c r="A31" s="16" t="s">
        <v>68</v>
      </c>
      <c r="B31" s="16" t="s">
        <v>69</v>
      </c>
      <c r="C31" s="17" t="s">
        <v>27</v>
      </c>
      <c r="D31" s="8"/>
      <c r="E31" s="8"/>
      <c r="F31" s="8"/>
      <c r="G31" s="8"/>
      <c r="H31" s="8"/>
      <c r="I31" s="4"/>
      <c r="J31" s="7"/>
      <c r="K31" s="7"/>
      <c r="L31" s="3"/>
      <c r="M31" s="5"/>
      <c r="N31" s="5"/>
      <c r="O31" s="5"/>
      <c r="P31" s="5"/>
      <c r="Q31" s="1"/>
      <c r="R31" s="1"/>
    </row>
    <row r="32" spans="1:18" ht="15" customHeight="1" x14ac:dyDescent="0.25">
      <c r="A32" s="10" t="s">
        <v>70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9">
        <v>102500</v>
      </c>
      <c r="Q32" s="9"/>
      <c r="R32" s="9"/>
    </row>
    <row r="33" spans="1:18" ht="24" x14ac:dyDescent="0.25">
      <c r="A33" s="16" t="s">
        <v>71</v>
      </c>
      <c r="B33" s="16" t="s">
        <v>72</v>
      </c>
      <c r="C33" s="17" t="s">
        <v>27</v>
      </c>
      <c r="D33" s="8">
        <v>46260</v>
      </c>
      <c r="E33" s="7"/>
      <c r="F33" s="8">
        <v>46260</v>
      </c>
      <c r="G33" s="6">
        <v>1</v>
      </c>
      <c r="H33" s="5">
        <v>102500</v>
      </c>
      <c r="I33" s="4">
        <f>G33*H33</f>
        <v>102500</v>
      </c>
      <c r="J33" s="7"/>
      <c r="K33" s="7"/>
      <c r="L33" s="3">
        <v>0</v>
      </c>
      <c r="M33" s="5">
        <v>0</v>
      </c>
      <c r="N33" s="5">
        <v>0</v>
      </c>
      <c r="O33" s="5">
        <v>0</v>
      </c>
      <c r="P33" s="2">
        <f>I33+L33+M33+N33+O33</f>
        <v>102500</v>
      </c>
      <c r="Q33" s="1">
        <v>0</v>
      </c>
      <c r="R33" s="1">
        <f>P33-Q33</f>
        <v>102500</v>
      </c>
    </row>
    <row r="34" spans="1:18" ht="24" x14ac:dyDescent="0.25">
      <c r="A34" s="16" t="s">
        <v>73</v>
      </c>
      <c r="B34" s="16" t="s">
        <v>74</v>
      </c>
      <c r="C34" s="17" t="s">
        <v>27</v>
      </c>
      <c r="D34" s="8"/>
      <c r="E34" s="8"/>
      <c r="F34" s="8"/>
      <c r="G34" s="8"/>
      <c r="H34" s="8"/>
      <c r="I34" s="4"/>
      <c r="J34" s="7"/>
      <c r="K34" s="7"/>
      <c r="L34" s="3"/>
      <c r="M34" s="5"/>
      <c r="N34" s="5"/>
      <c r="O34" s="5"/>
      <c r="P34" s="5"/>
      <c r="Q34" s="1"/>
      <c r="R34" s="1"/>
    </row>
    <row r="35" spans="1:18" ht="24" x14ac:dyDescent="0.25">
      <c r="A35" s="16" t="s">
        <v>75</v>
      </c>
      <c r="B35" s="16" t="s">
        <v>76</v>
      </c>
      <c r="C35" s="17" t="s">
        <v>27</v>
      </c>
      <c r="D35" s="8"/>
      <c r="E35" s="8"/>
      <c r="F35" s="8"/>
      <c r="G35" s="8"/>
      <c r="H35" s="8"/>
      <c r="I35" s="4"/>
      <c r="J35" s="7"/>
      <c r="K35" s="7"/>
      <c r="L35" s="3"/>
      <c r="M35" s="5"/>
      <c r="N35" s="5"/>
      <c r="O35" s="5"/>
      <c r="P35" s="5"/>
      <c r="Q35" s="1"/>
      <c r="R35" s="1"/>
    </row>
    <row r="36" spans="1:18" ht="24" x14ac:dyDescent="0.25">
      <c r="A36" s="16" t="s">
        <v>77</v>
      </c>
      <c r="B36" s="16" t="s">
        <v>78</v>
      </c>
      <c r="C36" s="17" t="s">
        <v>27</v>
      </c>
      <c r="D36" s="8"/>
      <c r="E36" s="8"/>
      <c r="F36" s="8"/>
      <c r="G36" s="8"/>
      <c r="H36" s="8"/>
      <c r="I36" s="4"/>
      <c r="J36" s="7"/>
      <c r="K36" s="7"/>
      <c r="L36" s="3"/>
      <c r="M36" s="5"/>
      <c r="N36" s="5"/>
      <c r="O36" s="5"/>
      <c r="P36" s="5"/>
      <c r="Q36" s="1"/>
      <c r="R36" s="1"/>
    </row>
    <row r="37" spans="1:18" ht="15" customHeight="1" x14ac:dyDescent="0.25">
      <c r="A37" s="10" t="s">
        <v>79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9">
        <v>307500</v>
      </c>
      <c r="Q37" s="9"/>
      <c r="R37" s="9"/>
    </row>
    <row r="38" spans="1:18" ht="24" x14ac:dyDescent="0.25">
      <c r="A38" s="16" t="s">
        <v>80</v>
      </c>
      <c r="B38" s="16" t="s">
        <v>81</v>
      </c>
      <c r="C38" s="17" t="s">
        <v>27</v>
      </c>
      <c r="D38" s="8">
        <v>46261</v>
      </c>
      <c r="E38" s="7"/>
      <c r="F38" s="8">
        <v>46261</v>
      </c>
      <c r="G38" s="6">
        <v>3</v>
      </c>
      <c r="H38" s="5">
        <v>102500</v>
      </c>
      <c r="I38" s="4">
        <f>G38*H38</f>
        <v>307500</v>
      </c>
      <c r="J38" s="7"/>
      <c r="K38" s="7"/>
      <c r="L38" s="3">
        <v>0</v>
      </c>
      <c r="M38" s="5">
        <v>0</v>
      </c>
      <c r="N38" s="5">
        <v>0</v>
      </c>
      <c r="O38" s="5">
        <v>0</v>
      </c>
      <c r="P38" s="2">
        <f>I38+L38+M38+N38+O38</f>
        <v>307500</v>
      </c>
      <c r="Q38" s="1">
        <v>0</v>
      </c>
      <c r="R38" s="1">
        <f>P38-Q38</f>
        <v>307500</v>
      </c>
    </row>
    <row r="39" spans="1:18" ht="24" x14ac:dyDescent="0.25">
      <c r="A39" s="16" t="s">
        <v>82</v>
      </c>
      <c r="B39" s="16" t="s">
        <v>83</v>
      </c>
      <c r="C39" s="17" t="s">
        <v>27</v>
      </c>
      <c r="D39" s="8"/>
      <c r="E39" s="8"/>
      <c r="F39" s="8"/>
      <c r="G39" s="8"/>
      <c r="H39" s="8"/>
      <c r="I39" s="4"/>
      <c r="J39" s="7"/>
      <c r="K39" s="7"/>
      <c r="L39" s="3"/>
      <c r="M39" s="5"/>
      <c r="N39" s="5"/>
      <c r="O39" s="5"/>
      <c r="P39" s="5"/>
      <c r="Q39" s="1"/>
      <c r="R39" s="1"/>
    </row>
    <row r="40" spans="1:18" ht="24" x14ac:dyDescent="0.25">
      <c r="A40" s="16" t="s">
        <v>84</v>
      </c>
      <c r="B40" s="16" t="s">
        <v>85</v>
      </c>
      <c r="C40" s="17" t="s">
        <v>27</v>
      </c>
      <c r="D40" s="8"/>
      <c r="E40" s="8"/>
      <c r="F40" s="8"/>
      <c r="G40" s="8"/>
      <c r="H40" s="8"/>
      <c r="I40" s="4"/>
      <c r="J40" s="7"/>
      <c r="K40" s="7"/>
      <c r="L40" s="3"/>
      <c r="M40" s="5"/>
      <c r="N40" s="5"/>
      <c r="O40" s="5"/>
      <c r="P40" s="5"/>
      <c r="Q40" s="1"/>
      <c r="R40" s="1"/>
    </row>
    <row r="41" spans="1:18" ht="24" x14ac:dyDescent="0.25">
      <c r="A41" s="16" t="s">
        <v>86</v>
      </c>
      <c r="B41" s="16" t="s">
        <v>87</v>
      </c>
      <c r="C41" s="17" t="s">
        <v>27</v>
      </c>
      <c r="D41" s="8"/>
      <c r="E41" s="8"/>
      <c r="F41" s="8"/>
      <c r="G41" s="8"/>
      <c r="H41" s="8"/>
      <c r="I41" s="4"/>
      <c r="J41" s="7"/>
      <c r="K41" s="7"/>
      <c r="L41" s="3"/>
      <c r="M41" s="5"/>
      <c r="N41" s="5"/>
      <c r="O41" s="5"/>
      <c r="P41" s="5"/>
      <c r="Q41" s="1"/>
      <c r="R41" s="1"/>
    </row>
    <row r="42" spans="1:18" ht="15" customHeight="1" x14ac:dyDescent="0.25">
      <c r="A42" s="10" t="s">
        <v>88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9">
        <v>102500</v>
      </c>
      <c r="Q42" s="9"/>
      <c r="R42" s="9"/>
    </row>
    <row r="43" spans="1:18" ht="24" x14ac:dyDescent="0.25">
      <c r="A43" s="16" t="s">
        <v>89</v>
      </c>
      <c r="B43" s="16" t="s">
        <v>90</v>
      </c>
      <c r="C43" s="17" t="s">
        <v>27</v>
      </c>
      <c r="D43" s="8">
        <v>46262</v>
      </c>
      <c r="E43" s="7"/>
      <c r="F43" s="8">
        <v>46262</v>
      </c>
      <c r="G43" s="6">
        <v>1</v>
      </c>
      <c r="H43" s="5">
        <v>102500</v>
      </c>
      <c r="I43" s="4">
        <f>G43*H43</f>
        <v>102500</v>
      </c>
      <c r="J43" s="7"/>
      <c r="K43" s="7"/>
      <c r="L43" s="3">
        <v>0</v>
      </c>
      <c r="M43" s="5">
        <v>0</v>
      </c>
      <c r="N43" s="5">
        <v>0</v>
      </c>
      <c r="O43" s="5">
        <v>0</v>
      </c>
      <c r="P43" s="2">
        <f>I43+L43+M43+N43+O43</f>
        <v>102500</v>
      </c>
      <c r="Q43" s="1">
        <v>0</v>
      </c>
      <c r="R43" s="1">
        <f>P43-Q43</f>
        <v>102500</v>
      </c>
    </row>
    <row r="44" spans="1:18" ht="24" x14ac:dyDescent="0.25">
      <c r="A44" s="16" t="s">
        <v>91</v>
      </c>
      <c r="B44" s="16" t="s">
        <v>92</v>
      </c>
      <c r="C44" s="17" t="s">
        <v>27</v>
      </c>
      <c r="D44" s="8"/>
      <c r="E44" s="8"/>
      <c r="F44" s="8"/>
      <c r="G44" s="8"/>
      <c r="H44" s="8"/>
      <c r="I44" s="4"/>
      <c r="J44" s="7"/>
      <c r="K44" s="7"/>
      <c r="L44" s="3"/>
      <c r="M44" s="5"/>
      <c r="N44" s="5"/>
      <c r="O44" s="5"/>
      <c r="P44" s="5"/>
      <c r="Q44" s="1"/>
      <c r="R44" s="1"/>
    </row>
    <row r="45" spans="1:18" ht="36" x14ac:dyDescent="0.25">
      <c r="A45" s="16" t="s">
        <v>93</v>
      </c>
      <c r="B45" s="16" t="s">
        <v>94</v>
      </c>
      <c r="C45" s="17" t="s">
        <v>27</v>
      </c>
      <c r="D45" s="8"/>
      <c r="E45" s="8"/>
      <c r="F45" s="8"/>
      <c r="G45" s="8"/>
      <c r="H45" s="8"/>
      <c r="I45" s="4"/>
      <c r="J45" s="7"/>
      <c r="K45" s="7"/>
      <c r="L45" s="3"/>
      <c r="M45" s="5"/>
      <c r="N45" s="5"/>
      <c r="O45" s="5"/>
      <c r="P45" s="5"/>
      <c r="Q45" s="1"/>
      <c r="R45" s="1"/>
    </row>
    <row r="46" spans="1:18" ht="24" x14ac:dyDescent="0.25">
      <c r="A46" s="16" t="s">
        <v>95</v>
      </c>
      <c r="B46" s="16" t="s">
        <v>96</v>
      </c>
      <c r="C46" s="17" t="s">
        <v>27</v>
      </c>
      <c r="D46" s="8"/>
      <c r="E46" s="8"/>
      <c r="F46" s="8"/>
      <c r="G46" s="8"/>
      <c r="H46" s="8"/>
      <c r="I46" s="4"/>
      <c r="J46" s="7"/>
      <c r="K46" s="7"/>
      <c r="L46" s="3"/>
      <c r="M46" s="5"/>
      <c r="N46" s="5"/>
      <c r="O46" s="5"/>
      <c r="P46" s="5"/>
      <c r="Q46" s="1"/>
      <c r="R46" s="1"/>
    </row>
    <row r="47" spans="1:18" ht="15" customHeight="1" x14ac:dyDescent="0.25">
      <c r="A47" s="10" t="s">
        <v>97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9">
        <v>615000</v>
      </c>
      <c r="Q47" s="9"/>
      <c r="R47" s="9"/>
    </row>
    <row r="48" spans="1:18" ht="24" x14ac:dyDescent="0.25">
      <c r="A48" s="16" t="s">
        <v>98</v>
      </c>
      <c r="B48" s="16" t="s">
        <v>99</v>
      </c>
      <c r="C48" s="17" t="s">
        <v>27</v>
      </c>
      <c r="D48" s="8">
        <v>46265</v>
      </c>
      <c r="E48" s="7"/>
      <c r="F48" s="8">
        <v>46265</v>
      </c>
      <c r="G48" s="6">
        <v>6</v>
      </c>
      <c r="H48" s="5">
        <v>102500</v>
      </c>
      <c r="I48" s="4">
        <f>G48*H48</f>
        <v>615000</v>
      </c>
      <c r="J48" s="7"/>
      <c r="K48" s="7"/>
      <c r="L48" s="3">
        <v>0</v>
      </c>
      <c r="M48" s="5">
        <v>0</v>
      </c>
      <c r="N48" s="5">
        <v>0</v>
      </c>
      <c r="O48" s="5">
        <v>0</v>
      </c>
      <c r="P48" s="2">
        <f>I48+L48+M48+N48+O48</f>
        <v>615000</v>
      </c>
      <c r="Q48" s="1">
        <v>0</v>
      </c>
      <c r="R48" s="1">
        <f>P48-Q48</f>
        <v>615000</v>
      </c>
    </row>
    <row r="49" spans="1:18" ht="24" x14ac:dyDescent="0.25">
      <c r="A49" s="16" t="s">
        <v>100</v>
      </c>
      <c r="B49" s="16" t="s">
        <v>101</v>
      </c>
      <c r="C49" s="17" t="s">
        <v>27</v>
      </c>
      <c r="D49" s="8"/>
      <c r="E49" s="8"/>
      <c r="F49" s="8"/>
      <c r="G49" s="8"/>
      <c r="H49" s="8"/>
      <c r="I49" s="4"/>
      <c r="J49" s="7"/>
      <c r="K49" s="7"/>
      <c r="L49" s="3"/>
      <c r="M49" s="5"/>
      <c r="N49" s="5"/>
      <c r="O49" s="5"/>
      <c r="P49" s="5"/>
      <c r="Q49" s="1"/>
      <c r="R49" s="1"/>
    </row>
    <row r="50" spans="1:18" ht="24" x14ac:dyDescent="0.25">
      <c r="A50" s="16" t="s">
        <v>102</v>
      </c>
      <c r="B50" s="16" t="s">
        <v>103</v>
      </c>
      <c r="C50" s="17" t="s">
        <v>27</v>
      </c>
      <c r="D50" s="8"/>
      <c r="E50" s="8"/>
      <c r="F50" s="8"/>
      <c r="G50" s="8"/>
      <c r="H50" s="8"/>
      <c r="I50" s="4"/>
      <c r="J50" s="7"/>
      <c r="K50" s="7"/>
      <c r="L50" s="3"/>
      <c r="M50" s="5"/>
      <c r="N50" s="5"/>
      <c r="O50" s="5"/>
      <c r="P50" s="5"/>
      <c r="Q50" s="1"/>
      <c r="R50" s="1"/>
    </row>
    <row r="51" spans="1:18" ht="24" x14ac:dyDescent="0.25">
      <c r="A51" s="16" t="s">
        <v>104</v>
      </c>
      <c r="B51" s="16" t="s">
        <v>105</v>
      </c>
      <c r="C51" s="17" t="s">
        <v>27</v>
      </c>
      <c r="D51" s="8"/>
      <c r="E51" s="8"/>
      <c r="F51" s="8"/>
      <c r="G51" s="8"/>
      <c r="H51" s="8"/>
      <c r="I51" s="4"/>
      <c r="J51" s="7"/>
      <c r="K51" s="7"/>
      <c r="L51" s="3"/>
      <c r="M51" s="5"/>
      <c r="N51" s="5"/>
      <c r="O51" s="5"/>
      <c r="P51" s="5"/>
      <c r="Q51" s="1"/>
      <c r="R51" s="1"/>
    </row>
    <row r="52" spans="1:18" ht="15" customHeight="1" x14ac:dyDescent="0.25">
      <c r="A52" s="10" t="s">
        <v>106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9">
        <v>205000</v>
      </c>
      <c r="Q52" s="9"/>
      <c r="R52" s="9"/>
    </row>
    <row r="53" spans="1:18" ht="24" x14ac:dyDescent="0.25">
      <c r="A53" s="16" t="s">
        <v>107</v>
      </c>
      <c r="B53" s="16" t="s">
        <v>108</v>
      </c>
      <c r="C53" s="17" t="s">
        <v>27</v>
      </c>
      <c r="D53" s="8">
        <v>46266</v>
      </c>
      <c r="E53" s="7"/>
      <c r="F53" s="8">
        <v>46266</v>
      </c>
      <c r="G53" s="6">
        <v>2</v>
      </c>
      <c r="H53" s="5">
        <v>102500</v>
      </c>
      <c r="I53" s="4">
        <f>G53*H53</f>
        <v>205000</v>
      </c>
      <c r="J53" s="7"/>
      <c r="K53" s="7"/>
      <c r="L53" s="3">
        <v>0</v>
      </c>
      <c r="M53" s="5">
        <v>0</v>
      </c>
      <c r="N53" s="5">
        <v>0</v>
      </c>
      <c r="O53" s="5">
        <v>0</v>
      </c>
      <c r="P53" s="2">
        <f>I53+L53+M53+N53+O53</f>
        <v>205000</v>
      </c>
      <c r="Q53" s="1">
        <v>0</v>
      </c>
      <c r="R53" s="1">
        <f>P53-Q53</f>
        <v>205000</v>
      </c>
    </row>
    <row r="54" spans="1:18" ht="24" x14ac:dyDescent="0.25">
      <c r="A54" s="16" t="s">
        <v>109</v>
      </c>
      <c r="B54" s="16" t="s">
        <v>110</v>
      </c>
      <c r="C54" s="17" t="s">
        <v>27</v>
      </c>
      <c r="D54" s="8"/>
      <c r="E54" s="8"/>
      <c r="F54" s="8"/>
      <c r="G54" s="8"/>
      <c r="H54" s="8"/>
      <c r="I54" s="4"/>
      <c r="J54" s="7"/>
      <c r="K54" s="7"/>
      <c r="L54" s="3"/>
      <c r="M54" s="5"/>
      <c r="N54" s="5"/>
      <c r="O54" s="5"/>
      <c r="P54" s="5"/>
      <c r="Q54" s="1"/>
      <c r="R54" s="1"/>
    </row>
    <row r="55" spans="1:18" ht="24" x14ac:dyDescent="0.25">
      <c r="A55" s="16" t="s">
        <v>111</v>
      </c>
      <c r="B55" s="16" t="s">
        <v>112</v>
      </c>
      <c r="C55" s="17" t="s">
        <v>27</v>
      </c>
      <c r="D55" s="8"/>
      <c r="E55" s="8"/>
      <c r="F55" s="8"/>
      <c r="G55" s="8"/>
      <c r="H55" s="8"/>
      <c r="I55" s="4"/>
      <c r="J55" s="7"/>
      <c r="K55" s="7"/>
      <c r="L55" s="3"/>
      <c r="M55" s="5"/>
      <c r="N55" s="5"/>
      <c r="O55" s="5"/>
      <c r="P55" s="5"/>
      <c r="Q55" s="1"/>
      <c r="R55" s="1"/>
    </row>
    <row r="56" spans="1:18" ht="24" x14ac:dyDescent="0.25">
      <c r="A56" s="16" t="s">
        <v>113</v>
      </c>
      <c r="B56" s="16" t="s">
        <v>114</v>
      </c>
      <c r="C56" s="17" t="s">
        <v>27</v>
      </c>
      <c r="D56" s="8"/>
      <c r="E56" s="8"/>
      <c r="F56" s="8"/>
      <c r="G56" s="8"/>
      <c r="H56" s="8"/>
      <c r="I56" s="4"/>
      <c r="J56" s="7"/>
      <c r="K56" s="7"/>
      <c r="L56" s="3"/>
      <c r="M56" s="5"/>
      <c r="N56" s="5"/>
      <c r="O56" s="5"/>
      <c r="P56" s="5"/>
      <c r="Q56" s="1"/>
      <c r="R56" s="1"/>
    </row>
    <row r="57" spans="1:18" ht="15" customHeight="1" x14ac:dyDescent="0.25">
      <c r="A57" s="10" t="s">
        <v>115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9">
        <v>307500</v>
      </c>
      <c r="Q57" s="9"/>
      <c r="R57" s="9"/>
    </row>
    <row r="58" spans="1:18" ht="24" x14ac:dyDescent="0.25">
      <c r="A58" s="16" t="s">
        <v>116</v>
      </c>
      <c r="B58" s="16" t="s">
        <v>117</v>
      </c>
      <c r="C58" s="17" t="s">
        <v>27</v>
      </c>
      <c r="D58" s="8">
        <v>46267</v>
      </c>
      <c r="E58" s="7"/>
      <c r="F58" s="8">
        <v>46267</v>
      </c>
      <c r="G58" s="6">
        <v>3</v>
      </c>
      <c r="H58" s="5">
        <v>102500</v>
      </c>
      <c r="I58" s="4">
        <f>G58*H58</f>
        <v>307500</v>
      </c>
      <c r="J58" s="7"/>
      <c r="K58" s="7"/>
      <c r="L58" s="3">
        <v>0</v>
      </c>
      <c r="M58" s="5">
        <v>0</v>
      </c>
      <c r="N58" s="5">
        <v>0</v>
      </c>
      <c r="O58" s="5">
        <v>0</v>
      </c>
      <c r="P58" s="2">
        <f>I58+L58+M58+N58+O58</f>
        <v>307500</v>
      </c>
      <c r="Q58" s="1">
        <v>0</v>
      </c>
      <c r="R58" s="1">
        <f>P58-Q58</f>
        <v>307500</v>
      </c>
    </row>
    <row r="59" spans="1:18" ht="24" x14ac:dyDescent="0.25">
      <c r="A59" s="16" t="s">
        <v>118</v>
      </c>
      <c r="B59" s="16" t="s">
        <v>119</v>
      </c>
      <c r="C59" s="17" t="s">
        <v>27</v>
      </c>
      <c r="D59" s="8"/>
      <c r="E59" s="8"/>
      <c r="F59" s="8"/>
      <c r="G59" s="8"/>
      <c r="H59" s="8"/>
      <c r="I59" s="4"/>
      <c r="J59" s="7"/>
      <c r="K59" s="7"/>
      <c r="L59" s="3"/>
      <c r="M59" s="5"/>
      <c r="N59" s="5"/>
      <c r="O59" s="5"/>
      <c r="P59" s="5"/>
      <c r="Q59" s="1"/>
      <c r="R59" s="1"/>
    </row>
    <row r="60" spans="1:18" ht="24" x14ac:dyDescent="0.25">
      <c r="A60" s="16" t="s">
        <v>120</v>
      </c>
      <c r="B60" s="16" t="s">
        <v>121</v>
      </c>
      <c r="C60" s="17" t="s">
        <v>27</v>
      </c>
      <c r="D60" s="8"/>
      <c r="E60" s="8"/>
      <c r="F60" s="8"/>
      <c r="G60" s="8"/>
      <c r="H60" s="8"/>
      <c r="I60" s="4"/>
      <c r="J60" s="7"/>
      <c r="K60" s="7"/>
      <c r="L60" s="3"/>
      <c r="M60" s="5"/>
      <c r="N60" s="5"/>
      <c r="O60" s="5"/>
      <c r="P60" s="5"/>
      <c r="Q60" s="1"/>
      <c r="R60" s="1"/>
    </row>
    <row r="61" spans="1:18" ht="24" x14ac:dyDescent="0.25">
      <c r="A61" s="16" t="s">
        <v>122</v>
      </c>
      <c r="B61" s="16" t="s">
        <v>123</v>
      </c>
      <c r="C61" s="17" t="s">
        <v>27</v>
      </c>
      <c r="D61" s="8"/>
      <c r="E61" s="8"/>
      <c r="F61" s="8"/>
      <c r="G61" s="8"/>
      <c r="H61" s="8"/>
      <c r="I61" s="4"/>
      <c r="J61" s="7"/>
      <c r="K61" s="7"/>
      <c r="L61" s="3"/>
      <c r="M61" s="5"/>
      <c r="N61" s="5"/>
      <c r="O61" s="5"/>
      <c r="P61" s="5"/>
      <c r="Q61" s="1"/>
      <c r="R61" s="1"/>
    </row>
    <row r="62" spans="1:18" ht="15" customHeight="1" x14ac:dyDescent="0.25">
      <c r="A62" s="11" t="s">
        <v>124</v>
      </c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15" customHeight="1" x14ac:dyDescent="0.25">
      <c r="A63" s="10" t="s">
        <v>125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9">
        <v>410000</v>
      </c>
      <c r="Q63" s="9"/>
      <c r="R63" s="9"/>
    </row>
    <row r="64" spans="1:18" ht="24" x14ac:dyDescent="0.25">
      <c r="A64" s="16" t="s">
        <v>126</v>
      </c>
      <c r="B64" s="16" t="s">
        <v>127</v>
      </c>
      <c r="C64" s="17" t="s">
        <v>27</v>
      </c>
      <c r="D64" s="8">
        <v>46268</v>
      </c>
      <c r="E64" s="7"/>
      <c r="F64" s="8">
        <v>46268</v>
      </c>
      <c r="G64" s="6">
        <v>4</v>
      </c>
      <c r="H64" s="5">
        <v>102500</v>
      </c>
      <c r="I64" s="4">
        <f>G64*H64</f>
        <v>410000</v>
      </c>
      <c r="J64" s="7"/>
      <c r="K64" s="7"/>
      <c r="L64" s="3">
        <v>0</v>
      </c>
      <c r="M64" s="5">
        <v>0</v>
      </c>
      <c r="N64" s="5">
        <v>0</v>
      </c>
      <c r="O64" s="5">
        <v>0</v>
      </c>
      <c r="P64" s="2">
        <f>I64+L64+M64+N64+O64</f>
        <v>410000</v>
      </c>
      <c r="Q64" s="1">
        <v>0</v>
      </c>
      <c r="R64" s="1">
        <f>P64-Q64</f>
        <v>410000</v>
      </c>
    </row>
    <row r="65" spans="1:18" ht="24" x14ac:dyDescent="0.25">
      <c r="A65" s="16" t="s">
        <v>128</v>
      </c>
      <c r="B65" s="16" t="s">
        <v>129</v>
      </c>
      <c r="C65" s="17" t="s">
        <v>27</v>
      </c>
      <c r="D65" s="8"/>
      <c r="E65" s="8"/>
      <c r="F65" s="8"/>
      <c r="G65" s="8"/>
      <c r="H65" s="8"/>
      <c r="I65" s="4"/>
      <c r="J65" s="7"/>
      <c r="K65" s="7"/>
      <c r="L65" s="3"/>
      <c r="M65" s="5"/>
      <c r="N65" s="5"/>
      <c r="O65" s="5"/>
      <c r="P65" s="5"/>
      <c r="Q65" s="1"/>
      <c r="R65" s="1"/>
    </row>
    <row r="66" spans="1:18" ht="24" x14ac:dyDescent="0.25">
      <c r="A66" s="16" t="s">
        <v>130</v>
      </c>
      <c r="B66" s="16" t="s">
        <v>131</v>
      </c>
      <c r="C66" s="17" t="s">
        <v>27</v>
      </c>
      <c r="D66" s="8"/>
      <c r="E66" s="8"/>
      <c r="F66" s="8"/>
      <c r="G66" s="8"/>
      <c r="H66" s="8"/>
      <c r="I66" s="4"/>
      <c r="J66" s="7"/>
      <c r="K66" s="7"/>
      <c r="L66" s="3"/>
      <c r="M66" s="5"/>
      <c r="N66" s="5"/>
      <c r="O66" s="5"/>
      <c r="P66" s="5"/>
      <c r="Q66" s="1"/>
      <c r="R66" s="1"/>
    </row>
    <row r="67" spans="1:18" ht="24" x14ac:dyDescent="0.25">
      <c r="A67" s="16" t="s">
        <v>132</v>
      </c>
      <c r="B67" s="16" t="s">
        <v>133</v>
      </c>
      <c r="C67" s="17" t="s">
        <v>27</v>
      </c>
      <c r="D67" s="8"/>
      <c r="E67" s="8"/>
      <c r="F67" s="8"/>
      <c r="G67" s="8"/>
      <c r="H67" s="8"/>
      <c r="I67" s="4"/>
      <c r="J67" s="7"/>
      <c r="K67" s="7"/>
      <c r="L67" s="3"/>
      <c r="M67" s="5"/>
      <c r="N67" s="5"/>
      <c r="O67" s="5"/>
      <c r="P67" s="5"/>
      <c r="Q67" s="1"/>
      <c r="R67" s="1"/>
    </row>
    <row r="68" spans="1:18" ht="15" customHeight="1" x14ac:dyDescent="0.25">
      <c r="A68" s="10" t="s">
        <v>134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9">
        <v>205000</v>
      </c>
      <c r="Q68" s="9"/>
      <c r="R68" s="9"/>
    </row>
    <row r="69" spans="1:18" ht="24" x14ac:dyDescent="0.25">
      <c r="A69" s="16" t="s">
        <v>135</v>
      </c>
      <c r="B69" s="16" t="s">
        <v>136</v>
      </c>
      <c r="C69" s="17" t="s">
        <v>27</v>
      </c>
      <c r="D69" s="8">
        <v>46269</v>
      </c>
      <c r="E69" s="7"/>
      <c r="F69" s="8">
        <v>46269</v>
      </c>
      <c r="G69" s="6">
        <v>2</v>
      </c>
      <c r="H69" s="5">
        <v>102500</v>
      </c>
      <c r="I69" s="4">
        <f>G69*H69</f>
        <v>205000</v>
      </c>
      <c r="J69" s="7"/>
      <c r="K69" s="7"/>
      <c r="L69" s="3">
        <v>0</v>
      </c>
      <c r="M69" s="5">
        <v>0</v>
      </c>
      <c r="N69" s="5">
        <v>0</v>
      </c>
      <c r="O69" s="5">
        <v>0</v>
      </c>
      <c r="P69" s="2">
        <f>I69+L69+M69+N69+O69</f>
        <v>205000</v>
      </c>
      <c r="Q69" s="1">
        <v>0</v>
      </c>
      <c r="R69" s="1">
        <f>P69-Q69</f>
        <v>205000</v>
      </c>
    </row>
    <row r="70" spans="1:18" ht="24" x14ac:dyDescent="0.25">
      <c r="A70" s="16" t="s">
        <v>137</v>
      </c>
      <c r="B70" s="16" t="s">
        <v>138</v>
      </c>
      <c r="C70" s="17" t="s">
        <v>27</v>
      </c>
      <c r="D70" s="8"/>
      <c r="E70" s="8"/>
      <c r="F70" s="8"/>
      <c r="G70" s="8"/>
      <c r="H70" s="8"/>
      <c r="I70" s="4"/>
      <c r="J70" s="7"/>
      <c r="K70" s="7"/>
      <c r="L70" s="3"/>
      <c r="M70" s="5"/>
      <c r="N70" s="5"/>
      <c r="O70" s="5"/>
      <c r="P70" s="5"/>
      <c r="Q70" s="1"/>
      <c r="R70" s="1"/>
    </row>
    <row r="71" spans="1:18" ht="24" x14ac:dyDescent="0.25">
      <c r="A71" s="16" t="s">
        <v>139</v>
      </c>
      <c r="B71" s="16" t="s">
        <v>140</v>
      </c>
      <c r="C71" s="17" t="s">
        <v>27</v>
      </c>
      <c r="D71" s="8"/>
      <c r="E71" s="8"/>
      <c r="F71" s="8"/>
      <c r="G71" s="8"/>
      <c r="H71" s="8"/>
      <c r="I71" s="4"/>
      <c r="J71" s="7"/>
      <c r="K71" s="7"/>
      <c r="L71" s="3"/>
      <c r="M71" s="5"/>
      <c r="N71" s="5"/>
      <c r="O71" s="5"/>
      <c r="P71" s="5"/>
      <c r="Q71" s="1"/>
      <c r="R71" s="1"/>
    </row>
    <row r="72" spans="1:18" ht="24" x14ac:dyDescent="0.25">
      <c r="A72" s="16" t="s">
        <v>141</v>
      </c>
      <c r="B72" s="16" t="s">
        <v>142</v>
      </c>
      <c r="C72" s="17" t="s">
        <v>27</v>
      </c>
      <c r="D72" s="8"/>
      <c r="E72" s="8"/>
      <c r="F72" s="8"/>
      <c r="G72" s="8"/>
      <c r="H72" s="8"/>
      <c r="I72" s="4"/>
      <c r="J72" s="7"/>
      <c r="K72" s="7"/>
      <c r="L72" s="3"/>
      <c r="M72" s="5"/>
      <c r="N72" s="5"/>
      <c r="O72" s="5"/>
      <c r="P72" s="5"/>
      <c r="Q72" s="1"/>
      <c r="R72" s="1"/>
    </row>
    <row r="73" spans="1:18" ht="15" customHeight="1" x14ac:dyDescent="0.25">
      <c r="A73" s="10" t="s">
        <v>143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9">
        <v>205000</v>
      </c>
      <c r="Q73" s="9"/>
      <c r="R73" s="9"/>
    </row>
    <row r="74" spans="1:18" ht="24" x14ac:dyDescent="0.25">
      <c r="A74" s="16" t="s">
        <v>144</v>
      </c>
      <c r="B74" s="16" t="s">
        <v>145</v>
      </c>
      <c r="C74" s="17" t="s">
        <v>27</v>
      </c>
      <c r="D74" s="8">
        <v>46272</v>
      </c>
      <c r="E74" s="7"/>
      <c r="F74" s="8">
        <v>46272</v>
      </c>
      <c r="G74" s="6">
        <v>2</v>
      </c>
      <c r="H74" s="5">
        <v>102500</v>
      </c>
      <c r="I74" s="4">
        <f>G74*H74</f>
        <v>205000</v>
      </c>
      <c r="J74" s="7"/>
      <c r="K74" s="7"/>
      <c r="L74" s="3">
        <v>0</v>
      </c>
      <c r="M74" s="5">
        <v>0</v>
      </c>
      <c r="N74" s="5">
        <v>0</v>
      </c>
      <c r="O74" s="5">
        <v>0</v>
      </c>
      <c r="P74" s="2">
        <f>I74+L74+M74+N74+O74</f>
        <v>205000</v>
      </c>
      <c r="Q74" s="1">
        <v>0</v>
      </c>
      <c r="R74" s="1">
        <f>P74-Q74</f>
        <v>205000</v>
      </c>
    </row>
    <row r="75" spans="1:18" ht="24" x14ac:dyDescent="0.25">
      <c r="A75" s="16" t="s">
        <v>146</v>
      </c>
      <c r="B75" s="16" t="s">
        <v>147</v>
      </c>
      <c r="C75" s="17" t="s">
        <v>27</v>
      </c>
      <c r="D75" s="8"/>
      <c r="E75" s="8"/>
      <c r="F75" s="8"/>
      <c r="G75" s="8"/>
      <c r="H75" s="8"/>
      <c r="I75" s="4"/>
      <c r="J75" s="7"/>
      <c r="K75" s="7"/>
      <c r="L75" s="3"/>
      <c r="M75" s="5"/>
      <c r="N75" s="5"/>
      <c r="O75" s="5"/>
      <c r="P75" s="5"/>
      <c r="Q75" s="1"/>
      <c r="R75" s="1"/>
    </row>
    <row r="76" spans="1:18" ht="24" x14ac:dyDescent="0.25">
      <c r="A76" s="16" t="s">
        <v>148</v>
      </c>
      <c r="B76" s="16" t="s">
        <v>149</v>
      </c>
      <c r="C76" s="17" t="s">
        <v>27</v>
      </c>
      <c r="D76" s="8"/>
      <c r="E76" s="8"/>
      <c r="F76" s="8"/>
      <c r="G76" s="8"/>
      <c r="H76" s="8"/>
      <c r="I76" s="4"/>
      <c r="J76" s="7"/>
      <c r="K76" s="7"/>
      <c r="L76" s="3"/>
      <c r="M76" s="5"/>
      <c r="N76" s="5"/>
      <c r="O76" s="5"/>
      <c r="P76" s="5"/>
      <c r="Q76" s="1"/>
      <c r="R76" s="1"/>
    </row>
    <row r="77" spans="1:18" ht="24" x14ac:dyDescent="0.25">
      <c r="A77" s="16" t="s">
        <v>150</v>
      </c>
      <c r="B77" s="16" t="s">
        <v>151</v>
      </c>
      <c r="C77" s="17" t="s">
        <v>27</v>
      </c>
      <c r="D77" s="8"/>
      <c r="E77" s="8"/>
      <c r="F77" s="8"/>
      <c r="G77" s="8"/>
      <c r="H77" s="8"/>
      <c r="I77" s="4"/>
      <c r="J77" s="7"/>
      <c r="K77" s="7"/>
      <c r="L77" s="3"/>
      <c r="M77" s="5"/>
      <c r="N77" s="5"/>
      <c r="O77" s="5"/>
      <c r="P77" s="5"/>
      <c r="Q77" s="1"/>
      <c r="R77" s="1"/>
    </row>
    <row r="78" spans="1:18" ht="15" customHeight="1" x14ac:dyDescent="0.25">
      <c r="A78" s="10" t="s">
        <v>152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9">
        <v>102500</v>
      </c>
      <c r="Q78" s="9"/>
      <c r="R78" s="9"/>
    </row>
    <row r="79" spans="1:18" ht="24" x14ac:dyDescent="0.25">
      <c r="A79" s="16" t="s">
        <v>153</v>
      </c>
      <c r="B79" s="16" t="s">
        <v>154</v>
      </c>
      <c r="C79" s="17" t="s">
        <v>27</v>
      </c>
      <c r="D79" s="8">
        <v>46273</v>
      </c>
      <c r="E79" s="7"/>
      <c r="F79" s="8">
        <v>46273</v>
      </c>
      <c r="G79" s="6">
        <v>1</v>
      </c>
      <c r="H79" s="5">
        <v>102500</v>
      </c>
      <c r="I79" s="4">
        <f>G79*H79</f>
        <v>102500</v>
      </c>
      <c r="J79" s="7"/>
      <c r="K79" s="7"/>
      <c r="L79" s="3">
        <v>0</v>
      </c>
      <c r="M79" s="5">
        <v>0</v>
      </c>
      <c r="N79" s="5">
        <v>0</v>
      </c>
      <c r="O79" s="5">
        <v>0</v>
      </c>
      <c r="P79" s="2">
        <f>I79+L79+M79+N79+O79</f>
        <v>102500</v>
      </c>
      <c r="Q79" s="1">
        <v>0</v>
      </c>
      <c r="R79" s="1">
        <f>P79-Q79</f>
        <v>102500</v>
      </c>
    </row>
    <row r="80" spans="1:18" ht="24" x14ac:dyDescent="0.25">
      <c r="A80" s="16" t="s">
        <v>155</v>
      </c>
      <c r="B80" s="16" t="s">
        <v>156</v>
      </c>
      <c r="C80" s="17" t="s">
        <v>27</v>
      </c>
      <c r="D80" s="8"/>
      <c r="E80" s="8"/>
      <c r="F80" s="8"/>
      <c r="G80" s="8"/>
      <c r="H80" s="8"/>
      <c r="I80" s="4"/>
      <c r="J80" s="7"/>
      <c r="K80" s="7"/>
      <c r="L80" s="3"/>
      <c r="M80" s="5"/>
      <c r="N80" s="5"/>
      <c r="O80" s="5"/>
      <c r="P80" s="5"/>
      <c r="Q80" s="1"/>
      <c r="R80" s="1"/>
    </row>
    <row r="81" spans="1:18" ht="24" x14ac:dyDescent="0.25">
      <c r="A81" s="16" t="s">
        <v>157</v>
      </c>
      <c r="B81" s="16" t="s">
        <v>158</v>
      </c>
      <c r="C81" s="17" t="s">
        <v>27</v>
      </c>
      <c r="D81" s="8"/>
      <c r="E81" s="8"/>
      <c r="F81" s="8"/>
      <c r="G81" s="8"/>
      <c r="H81" s="8"/>
      <c r="I81" s="4"/>
      <c r="J81" s="7"/>
      <c r="K81" s="7"/>
      <c r="L81" s="3"/>
      <c r="M81" s="5"/>
      <c r="N81" s="5"/>
      <c r="O81" s="5"/>
      <c r="P81" s="5"/>
      <c r="Q81" s="1"/>
      <c r="R81" s="1"/>
    </row>
    <row r="82" spans="1:18" ht="24" x14ac:dyDescent="0.25">
      <c r="A82" s="16" t="s">
        <v>159</v>
      </c>
      <c r="B82" s="16" t="s">
        <v>160</v>
      </c>
      <c r="C82" s="17" t="s">
        <v>27</v>
      </c>
      <c r="D82" s="8"/>
      <c r="E82" s="8"/>
      <c r="F82" s="8"/>
      <c r="G82" s="8"/>
      <c r="H82" s="8"/>
      <c r="I82" s="4"/>
      <c r="J82" s="7"/>
      <c r="K82" s="7"/>
      <c r="L82" s="3"/>
      <c r="M82" s="5"/>
      <c r="N82" s="5"/>
      <c r="O82" s="5"/>
      <c r="P82" s="5"/>
      <c r="Q82" s="1"/>
      <c r="R82" s="1"/>
    </row>
    <row r="83" spans="1:18" ht="15" customHeight="1" x14ac:dyDescent="0.25">
      <c r="A83" s="10" t="s">
        <v>161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9">
        <v>205000</v>
      </c>
      <c r="Q83" s="9"/>
      <c r="R83" s="9"/>
    </row>
    <row r="84" spans="1:18" ht="24" x14ac:dyDescent="0.25">
      <c r="A84" s="16" t="s">
        <v>162</v>
      </c>
      <c r="B84" s="16" t="s">
        <v>163</v>
      </c>
      <c r="C84" s="17" t="s">
        <v>27</v>
      </c>
      <c r="D84" s="8">
        <v>46274</v>
      </c>
      <c r="E84" s="7"/>
      <c r="F84" s="8">
        <v>46274</v>
      </c>
      <c r="G84" s="6">
        <v>2</v>
      </c>
      <c r="H84" s="5">
        <v>102500</v>
      </c>
      <c r="I84" s="4">
        <f>G84*H84</f>
        <v>205000</v>
      </c>
      <c r="J84" s="7"/>
      <c r="K84" s="7"/>
      <c r="L84" s="3">
        <v>0</v>
      </c>
      <c r="M84" s="5">
        <v>0</v>
      </c>
      <c r="N84" s="5">
        <v>0</v>
      </c>
      <c r="O84" s="5">
        <v>0</v>
      </c>
      <c r="P84" s="2">
        <f>I84+L84+M84+N84+O84</f>
        <v>205000</v>
      </c>
      <c r="Q84" s="1">
        <v>0</v>
      </c>
      <c r="R84" s="1">
        <f>P84-Q84</f>
        <v>205000</v>
      </c>
    </row>
    <row r="85" spans="1:18" ht="24" x14ac:dyDescent="0.25">
      <c r="A85" s="16" t="s">
        <v>164</v>
      </c>
      <c r="B85" s="16" t="s">
        <v>165</v>
      </c>
      <c r="C85" s="17" t="s">
        <v>27</v>
      </c>
      <c r="D85" s="8"/>
      <c r="E85" s="8"/>
      <c r="F85" s="8"/>
      <c r="G85" s="8"/>
      <c r="H85" s="8"/>
      <c r="I85" s="4"/>
      <c r="J85" s="7"/>
      <c r="K85" s="7"/>
      <c r="L85" s="3"/>
      <c r="M85" s="5"/>
      <c r="N85" s="5"/>
      <c r="O85" s="5"/>
      <c r="P85" s="5"/>
      <c r="Q85" s="1"/>
      <c r="R85" s="1"/>
    </row>
    <row r="86" spans="1:18" ht="24" x14ac:dyDescent="0.25">
      <c r="A86" s="16" t="s">
        <v>166</v>
      </c>
      <c r="B86" s="16" t="s">
        <v>167</v>
      </c>
      <c r="C86" s="17" t="s">
        <v>27</v>
      </c>
      <c r="D86" s="8"/>
      <c r="E86" s="8"/>
      <c r="F86" s="8"/>
      <c r="G86" s="8"/>
      <c r="H86" s="8"/>
      <c r="I86" s="4"/>
      <c r="J86" s="7"/>
      <c r="K86" s="7"/>
      <c r="L86" s="3"/>
      <c r="M86" s="5"/>
      <c r="N86" s="5"/>
      <c r="O86" s="5"/>
      <c r="P86" s="5"/>
      <c r="Q86" s="1"/>
      <c r="R86" s="1"/>
    </row>
    <row r="87" spans="1:18" ht="24" x14ac:dyDescent="0.25">
      <c r="A87" s="16" t="s">
        <v>168</v>
      </c>
      <c r="B87" s="16" t="s">
        <v>169</v>
      </c>
      <c r="C87" s="17" t="s">
        <v>27</v>
      </c>
      <c r="D87" s="8"/>
      <c r="E87" s="8"/>
      <c r="F87" s="8"/>
      <c r="G87" s="8"/>
      <c r="H87" s="8"/>
      <c r="I87" s="4"/>
      <c r="J87" s="7"/>
      <c r="K87" s="7"/>
      <c r="L87" s="3"/>
      <c r="M87" s="5"/>
      <c r="N87" s="5"/>
      <c r="O87" s="5"/>
      <c r="P87" s="5"/>
      <c r="Q87" s="1"/>
      <c r="R87" s="1"/>
    </row>
    <row r="88" spans="1:18" ht="15" customHeight="1" x14ac:dyDescent="0.25">
      <c r="A88" s="10" t="s">
        <v>170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9">
        <v>205000</v>
      </c>
      <c r="Q88" s="9"/>
      <c r="R88" s="9"/>
    </row>
    <row r="89" spans="1:18" ht="24" x14ac:dyDescent="0.25">
      <c r="A89" s="16" t="s">
        <v>171</v>
      </c>
      <c r="B89" s="16" t="s">
        <v>172</v>
      </c>
      <c r="C89" s="17" t="s">
        <v>27</v>
      </c>
      <c r="D89" s="8">
        <v>46275</v>
      </c>
      <c r="E89" s="7"/>
      <c r="F89" s="8">
        <v>46275</v>
      </c>
      <c r="G89" s="6">
        <v>2</v>
      </c>
      <c r="H89" s="5">
        <v>102500</v>
      </c>
      <c r="I89" s="4">
        <f>G89*H89</f>
        <v>205000</v>
      </c>
      <c r="J89" s="7"/>
      <c r="K89" s="7"/>
      <c r="L89" s="3">
        <v>0</v>
      </c>
      <c r="M89" s="5">
        <v>0</v>
      </c>
      <c r="N89" s="5">
        <v>0</v>
      </c>
      <c r="O89" s="5">
        <v>0</v>
      </c>
      <c r="P89" s="2">
        <f>I89+L89+M89+N89+O89</f>
        <v>205000</v>
      </c>
      <c r="Q89" s="1">
        <v>0</v>
      </c>
      <c r="R89" s="1">
        <f>P89-Q89</f>
        <v>205000</v>
      </c>
    </row>
    <row r="90" spans="1:18" ht="24" x14ac:dyDescent="0.25">
      <c r="A90" s="16" t="s">
        <v>173</v>
      </c>
      <c r="B90" s="16" t="s">
        <v>174</v>
      </c>
      <c r="C90" s="17" t="s">
        <v>27</v>
      </c>
      <c r="D90" s="8"/>
      <c r="E90" s="8"/>
      <c r="F90" s="8"/>
      <c r="G90" s="8"/>
      <c r="H90" s="8"/>
      <c r="I90" s="4"/>
      <c r="J90" s="7"/>
      <c r="K90" s="7"/>
      <c r="L90" s="3"/>
      <c r="M90" s="5"/>
      <c r="N90" s="5"/>
      <c r="O90" s="5"/>
      <c r="P90" s="5"/>
      <c r="Q90" s="1"/>
      <c r="R90" s="1"/>
    </row>
    <row r="91" spans="1:18" ht="24" x14ac:dyDescent="0.25">
      <c r="A91" s="16" t="s">
        <v>175</v>
      </c>
      <c r="B91" s="16" t="s">
        <v>176</v>
      </c>
      <c r="C91" s="17" t="s">
        <v>27</v>
      </c>
      <c r="D91" s="8"/>
      <c r="E91" s="8"/>
      <c r="F91" s="8"/>
      <c r="G91" s="8"/>
      <c r="H91" s="8"/>
      <c r="I91" s="4"/>
      <c r="J91" s="7"/>
      <c r="K91" s="7"/>
      <c r="L91" s="3"/>
      <c r="M91" s="5"/>
      <c r="N91" s="5"/>
      <c r="O91" s="5"/>
      <c r="P91" s="5"/>
      <c r="Q91" s="1"/>
      <c r="R91" s="1"/>
    </row>
    <row r="92" spans="1:18" ht="24" x14ac:dyDescent="0.25">
      <c r="A92" s="16" t="s">
        <v>177</v>
      </c>
      <c r="B92" s="16" t="s">
        <v>178</v>
      </c>
      <c r="C92" s="17" t="s">
        <v>27</v>
      </c>
      <c r="D92" s="8"/>
      <c r="E92" s="8"/>
      <c r="F92" s="8"/>
      <c r="G92" s="8"/>
      <c r="H92" s="8"/>
      <c r="I92" s="4"/>
      <c r="J92" s="7"/>
      <c r="K92" s="7"/>
      <c r="L92" s="3"/>
      <c r="M92" s="5"/>
      <c r="N92" s="5"/>
      <c r="O92" s="5"/>
      <c r="P92" s="5"/>
      <c r="Q92" s="1"/>
      <c r="R92" s="1"/>
    </row>
    <row r="93" spans="1:18" ht="15" customHeight="1" x14ac:dyDescent="0.25">
      <c r="A93" s="10" t="s">
        <v>179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9">
        <v>307500</v>
      </c>
      <c r="Q93" s="9"/>
      <c r="R93" s="9"/>
    </row>
    <row r="94" spans="1:18" ht="24" x14ac:dyDescent="0.25">
      <c r="A94" s="16" t="s">
        <v>180</v>
      </c>
      <c r="B94" s="16" t="s">
        <v>181</v>
      </c>
      <c r="C94" s="17" t="s">
        <v>27</v>
      </c>
      <c r="D94" s="8">
        <v>46276</v>
      </c>
      <c r="E94" s="7"/>
      <c r="F94" s="8">
        <v>46276</v>
      </c>
      <c r="G94" s="6">
        <v>3</v>
      </c>
      <c r="H94" s="5">
        <v>102500</v>
      </c>
      <c r="I94" s="4">
        <f>G94*H94</f>
        <v>307500</v>
      </c>
      <c r="J94" s="7"/>
      <c r="K94" s="7"/>
      <c r="L94" s="3">
        <v>0</v>
      </c>
      <c r="M94" s="5">
        <v>0</v>
      </c>
      <c r="N94" s="5">
        <v>0</v>
      </c>
      <c r="O94" s="5">
        <v>0</v>
      </c>
      <c r="P94" s="2">
        <f>I94+L94+M94+N94+O94</f>
        <v>307500</v>
      </c>
      <c r="Q94" s="1">
        <v>0</v>
      </c>
      <c r="R94" s="1">
        <f>P94-Q94</f>
        <v>307500</v>
      </c>
    </row>
    <row r="95" spans="1:18" ht="24" x14ac:dyDescent="0.25">
      <c r="A95" s="16" t="s">
        <v>182</v>
      </c>
      <c r="B95" s="16" t="s">
        <v>183</v>
      </c>
      <c r="C95" s="17" t="s">
        <v>27</v>
      </c>
      <c r="D95" s="8"/>
      <c r="E95" s="8"/>
      <c r="F95" s="8"/>
      <c r="G95" s="8"/>
      <c r="H95" s="8"/>
      <c r="I95" s="4"/>
      <c r="J95" s="7"/>
      <c r="K95" s="7"/>
      <c r="L95" s="3"/>
      <c r="M95" s="5"/>
      <c r="N95" s="5"/>
      <c r="O95" s="5"/>
      <c r="P95" s="5"/>
      <c r="Q95" s="1"/>
      <c r="R95" s="1"/>
    </row>
    <row r="96" spans="1:18" ht="24" x14ac:dyDescent="0.25">
      <c r="A96" s="16" t="s">
        <v>184</v>
      </c>
      <c r="B96" s="16" t="s">
        <v>185</v>
      </c>
      <c r="C96" s="17" t="s">
        <v>27</v>
      </c>
      <c r="D96" s="8"/>
      <c r="E96" s="8"/>
      <c r="F96" s="8"/>
      <c r="G96" s="8"/>
      <c r="H96" s="8"/>
      <c r="I96" s="4"/>
      <c r="J96" s="7"/>
      <c r="K96" s="7"/>
      <c r="L96" s="3"/>
      <c r="M96" s="5"/>
      <c r="N96" s="5"/>
      <c r="O96" s="5"/>
      <c r="P96" s="5"/>
      <c r="Q96" s="1"/>
      <c r="R96" s="1"/>
    </row>
    <row r="97" spans="1:18" ht="24" x14ac:dyDescent="0.25">
      <c r="A97" s="16" t="s">
        <v>186</v>
      </c>
      <c r="B97" s="16" t="s">
        <v>187</v>
      </c>
      <c r="C97" s="17" t="s">
        <v>27</v>
      </c>
      <c r="D97" s="8"/>
      <c r="E97" s="8"/>
      <c r="F97" s="8"/>
      <c r="G97" s="8"/>
      <c r="H97" s="8"/>
      <c r="I97" s="4"/>
      <c r="J97" s="7"/>
      <c r="K97" s="7"/>
      <c r="L97" s="3"/>
      <c r="M97" s="5"/>
      <c r="N97" s="5"/>
      <c r="O97" s="5"/>
      <c r="P97" s="5"/>
      <c r="Q97" s="1"/>
      <c r="R97" s="1"/>
    </row>
    <row r="98" spans="1:18" ht="15" customHeight="1" x14ac:dyDescent="0.25">
      <c r="A98" s="10" t="s">
        <v>188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9">
        <v>307500</v>
      </c>
      <c r="Q98" s="9"/>
      <c r="R98" s="9"/>
    </row>
    <row r="99" spans="1:18" ht="24" x14ac:dyDescent="0.25">
      <c r="A99" s="16" t="s">
        <v>189</v>
      </c>
      <c r="B99" s="16" t="s">
        <v>190</v>
      </c>
      <c r="C99" s="17" t="s">
        <v>27</v>
      </c>
      <c r="D99" s="8">
        <v>46279</v>
      </c>
      <c r="E99" s="7"/>
      <c r="F99" s="8">
        <v>46279</v>
      </c>
      <c r="G99" s="6">
        <v>3</v>
      </c>
      <c r="H99" s="5">
        <v>102500</v>
      </c>
      <c r="I99" s="4">
        <f>G99*H99</f>
        <v>307500</v>
      </c>
      <c r="J99" s="7"/>
      <c r="K99" s="7"/>
      <c r="L99" s="3">
        <v>0</v>
      </c>
      <c r="M99" s="5">
        <v>0</v>
      </c>
      <c r="N99" s="5">
        <v>0</v>
      </c>
      <c r="O99" s="5">
        <v>0</v>
      </c>
      <c r="P99" s="2">
        <f>I99+L99+M99+N99+O99</f>
        <v>307500</v>
      </c>
      <c r="Q99" s="1">
        <v>0</v>
      </c>
      <c r="R99" s="1">
        <f>P99-Q99</f>
        <v>307500</v>
      </c>
    </row>
    <row r="100" spans="1:18" ht="24" x14ac:dyDescent="0.25">
      <c r="A100" s="16" t="s">
        <v>191</v>
      </c>
      <c r="B100" s="16" t="s">
        <v>192</v>
      </c>
      <c r="C100" s="17" t="s">
        <v>27</v>
      </c>
      <c r="D100" s="8"/>
      <c r="E100" s="8"/>
      <c r="F100" s="8"/>
      <c r="G100" s="8"/>
      <c r="H100" s="8"/>
      <c r="I100" s="4"/>
      <c r="J100" s="7"/>
      <c r="K100" s="7"/>
      <c r="L100" s="3"/>
      <c r="M100" s="5"/>
      <c r="N100" s="5"/>
      <c r="O100" s="5"/>
      <c r="P100" s="5"/>
      <c r="Q100" s="1"/>
      <c r="R100" s="1"/>
    </row>
    <row r="101" spans="1:18" ht="24" x14ac:dyDescent="0.25">
      <c r="A101" s="16" t="s">
        <v>193</v>
      </c>
      <c r="B101" s="16" t="s">
        <v>194</v>
      </c>
      <c r="C101" s="17" t="s">
        <v>27</v>
      </c>
      <c r="D101" s="8"/>
      <c r="E101" s="8"/>
      <c r="F101" s="8"/>
      <c r="G101" s="8"/>
      <c r="H101" s="8"/>
      <c r="I101" s="4"/>
      <c r="J101" s="7"/>
      <c r="K101" s="7"/>
      <c r="L101" s="3"/>
      <c r="M101" s="5"/>
      <c r="N101" s="5"/>
      <c r="O101" s="5"/>
      <c r="P101" s="5"/>
      <c r="Q101" s="1"/>
      <c r="R101" s="1"/>
    </row>
    <row r="102" spans="1:18" ht="24" x14ac:dyDescent="0.25">
      <c r="A102" s="16" t="s">
        <v>195</v>
      </c>
      <c r="B102" s="16" t="s">
        <v>196</v>
      </c>
      <c r="C102" s="17" t="s">
        <v>27</v>
      </c>
      <c r="D102" s="8"/>
      <c r="E102" s="8"/>
      <c r="F102" s="8"/>
      <c r="G102" s="8"/>
      <c r="H102" s="8"/>
      <c r="I102" s="4"/>
      <c r="J102" s="7"/>
      <c r="K102" s="7"/>
      <c r="L102" s="3"/>
      <c r="M102" s="5"/>
      <c r="N102" s="5"/>
      <c r="O102" s="5"/>
      <c r="P102" s="5"/>
      <c r="Q102" s="1"/>
      <c r="R102" s="1"/>
    </row>
    <row r="103" spans="1:18" ht="15" customHeight="1" x14ac:dyDescent="0.25">
      <c r="A103" s="10" t="s">
        <v>197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9">
        <v>820000</v>
      </c>
      <c r="Q103" s="9"/>
      <c r="R103" s="9"/>
    </row>
    <row r="104" spans="1:18" ht="24" x14ac:dyDescent="0.25">
      <c r="A104" s="16" t="s">
        <v>198</v>
      </c>
      <c r="B104" s="16" t="s">
        <v>199</v>
      </c>
      <c r="C104" s="17" t="s">
        <v>27</v>
      </c>
      <c r="D104" s="8">
        <v>46280</v>
      </c>
      <c r="E104" s="7"/>
      <c r="F104" s="8">
        <v>46280</v>
      </c>
      <c r="G104" s="6">
        <v>8</v>
      </c>
      <c r="H104" s="5">
        <v>102500</v>
      </c>
      <c r="I104" s="4">
        <f>G104*H104</f>
        <v>820000</v>
      </c>
      <c r="J104" s="7"/>
      <c r="K104" s="7"/>
      <c r="L104" s="3">
        <v>0</v>
      </c>
      <c r="M104" s="5">
        <v>0</v>
      </c>
      <c r="N104" s="5">
        <v>0</v>
      </c>
      <c r="O104" s="5">
        <v>0</v>
      </c>
      <c r="P104" s="2">
        <f>I104+L104+M104+N104+O104</f>
        <v>820000</v>
      </c>
      <c r="Q104" s="1">
        <v>0</v>
      </c>
      <c r="R104" s="1">
        <f>P104-Q104</f>
        <v>820000</v>
      </c>
    </row>
    <row r="105" spans="1:18" ht="24" x14ac:dyDescent="0.25">
      <c r="A105" s="16" t="s">
        <v>200</v>
      </c>
      <c r="B105" s="16" t="s">
        <v>201</v>
      </c>
      <c r="C105" s="17" t="s">
        <v>27</v>
      </c>
      <c r="D105" s="8"/>
      <c r="E105" s="8"/>
      <c r="F105" s="8"/>
      <c r="G105" s="8"/>
      <c r="H105" s="8"/>
      <c r="I105" s="4"/>
      <c r="J105" s="7"/>
      <c r="K105" s="7"/>
      <c r="L105" s="3"/>
      <c r="M105" s="5"/>
      <c r="N105" s="5"/>
      <c r="O105" s="5"/>
      <c r="P105" s="5"/>
      <c r="Q105" s="1"/>
      <c r="R105" s="1"/>
    </row>
    <row r="106" spans="1:18" ht="24" x14ac:dyDescent="0.25">
      <c r="A106" s="16" t="s">
        <v>202</v>
      </c>
      <c r="B106" s="16" t="s">
        <v>203</v>
      </c>
      <c r="C106" s="17" t="s">
        <v>27</v>
      </c>
      <c r="D106" s="8"/>
      <c r="E106" s="8"/>
      <c r="F106" s="8"/>
      <c r="G106" s="8"/>
      <c r="H106" s="8"/>
      <c r="I106" s="4"/>
      <c r="J106" s="7"/>
      <c r="K106" s="7"/>
      <c r="L106" s="3"/>
      <c r="M106" s="5"/>
      <c r="N106" s="5"/>
      <c r="O106" s="5"/>
      <c r="P106" s="5"/>
      <c r="Q106" s="1"/>
      <c r="R106" s="1"/>
    </row>
    <row r="107" spans="1:18" ht="24" x14ac:dyDescent="0.25">
      <c r="A107" s="16" t="s">
        <v>204</v>
      </c>
      <c r="B107" s="16" t="s">
        <v>205</v>
      </c>
      <c r="C107" s="17" t="s">
        <v>27</v>
      </c>
      <c r="D107" s="8"/>
      <c r="E107" s="8"/>
      <c r="F107" s="8"/>
      <c r="G107" s="8"/>
      <c r="H107" s="8"/>
      <c r="I107" s="4"/>
      <c r="J107" s="7"/>
      <c r="K107" s="7"/>
      <c r="L107" s="3"/>
      <c r="M107" s="5"/>
      <c r="N107" s="5"/>
      <c r="O107" s="5"/>
      <c r="P107" s="5"/>
      <c r="Q107" s="1"/>
      <c r="R107" s="1"/>
    </row>
    <row r="108" spans="1:18" ht="15" customHeight="1" x14ac:dyDescent="0.25">
      <c r="A108" s="10" t="s">
        <v>206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9">
        <v>1025000</v>
      </c>
      <c r="Q108" s="9"/>
      <c r="R108" s="9"/>
    </row>
    <row r="109" spans="1:18" ht="24" x14ac:dyDescent="0.25">
      <c r="A109" s="16" t="s">
        <v>207</v>
      </c>
      <c r="B109" s="16" t="s">
        <v>208</v>
      </c>
      <c r="C109" s="17" t="s">
        <v>27</v>
      </c>
      <c r="D109" s="8">
        <v>46281</v>
      </c>
      <c r="E109" s="7"/>
      <c r="F109" s="8">
        <v>46281</v>
      </c>
      <c r="G109" s="6">
        <v>10</v>
      </c>
      <c r="H109" s="5">
        <v>102500</v>
      </c>
      <c r="I109" s="4">
        <f>G109*H109</f>
        <v>1025000</v>
      </c>
      <c r="J109" s="7"/>
      <c r="K109" s="7"/>
      <c r="L109" s="3">
        <v>0</v>
      </c>
      <c r="M109" s="5">
        <v>0</v>
      </c>
      <c r="N109" s="5">
        <v>0</v>
      </c>
      <c r="O109" s="5">
        <v>0</v>
      </c>
      <c r="P109" s="2">
        <f>I109+L109+M109+N109+O109</f>
        <v>1025000</v>
      </c>
      <c r="Q109" s="1">
        <v>0</v>
      </c>
      <c r="R109" s="1">
        <f>P109-Q109</f>
        <v>1025000</v>
      </c>
    </row>
    <row r="110" spans="1:18" ht="24" x14ac:dyDescent="0.25">
      <c r="A110" s="16" t="s">
        <v>209</v>
      </c>
      <c r="B110" s="16" t="s">
        <v>210</v>
      </c>
      <c r="C110" s="17" t="s">
        <v>27</v>
      </c>
      <c r="D110" s="8"/>
      <c r="E110" s="8"/>
      <c r="F110" s="8"/>
      <c r="G110" s="8"/>
      <c r="H110" s="8"/>
      <c r="I110" s="4"/>
      <c r="J110" s="7"/>
      <c r="K110" s="7"/>
      <c r="L110" s="3"/>
      <c r="M110" s="5"/>
      <c r="N110" s="5"/>
      <c r="O110" s="5"/>
      <c r="P110" s="5"/>
      <c r="Q110" s="1"/>
      <c r="R110" s="1"/>
    </row>
    <row r="111" spans="1:18" ht="24" x14ac:dyDescent="0.25">
      <c r="A111" s="16" t="s">
        <v>211</v>
      </c>
      <c r="B111" s="16" t="s">
        <v>212</v>
      </c>
      <c r="C111" s="17" t="s">
        <v>27</v>
      </c>
      <c r="D111" s="8"/>
      <c r="E111" s="8"/>
      <c r="F111" s="8"/>
      <c r="G111" s="8"/>
      <c r="H111" s="8"/>
      <c r="I111" s="4"/>
      <c r="J111" s="7"/>
      <c r="K111" s="7"/>
      <c r="L111" s="3"/>
      <c r="M111" s="5"/>
      <c r="N111" s="5"/>
      <c r="O111" s="5"/>
      <c r="P111" s="5"/>
      <c r="Q111" s="1"/>
      <c r="R111" s="1"/>
    </row>
    <row r="112" spans="1:18" ht="24" x14ac:dyDescent="0.25">
      <c r="A112" s="16" t="s">
        <v>213</v>
      </c>
      <c r="B112" s="16" t="s">
        <v>214</v>
      </c>
      <c r="C112" s="17" t="s">
        <v>27</v>
      </c>
      <c r="D112" s="8"/>
      <c r="E112" s="8"/>
      <c r="F112" s="8"/>
      <c r="G112" s="8"/>
      <c r="H112" s="8"/>
      <c r="I112" s="4"/>
      <c r="J112" s="7"/>
      <c r="K112" s="7"/>
      <c r="L112" s="3"/>
      <c r="M112" s="5"/>
      <c r="N112" s="5"/>
      <c r="O112" s="5"/>
      <c r="P112" s="5"/>
      <c r="Q112" s="1"/>
      <c r="R112" s="1"/>
    </row>
    <row r="113" spans="1:18" ht="15" customHeight="1" x14ac:dyDescent="0.25">
      <c r="A113" s="10" t="s">
        <v>215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9">
        <v>102500</v>
      </c>
      <c r="Q113" s="9"/>
      <c r="R113" s="9"/>
    </row>
    <row r="114" spans="1:18" ht="24" x14ac:dyDescent="0.25">
      <c r="A114" s="16" t="s">
        <v>216</v>
      </c>
      <c r="B114" s="16" t="s">
        <v>217</v>
      </c>
      <c r="C114" s="17" t="s">
        <v>27</v>
      </c>
      <c r="D114" s="8">
        <v>46282</v>
      </c>
      <c r="E114" s="7"/>
      <c r="F114" s="8">
        <v>46282</v>
      </c>
      <c r="G114" s="6">
        <v>1</v>
      </c>
      <c r="H114" s="5">
        <v>102500</v>
      </c>
      <c r="I114" s="4">
        <f>G114*H114</f>
        <v>102500</v>
      </c>
      <c r="J114" s="7"/>
      <c r="K114" s="7"/>
      <c r="L114" s="3">
        <v>0</v>
      </c>
      <c r="M114" s="5">
        <v>0</v>
      </c>
      <c r="N114" s="5">
        <v>0</v>
      </c>
      <c r="O114" s="5">
        <v>0</v>
      </c>
      <c r="P114" s="2">
        <f>I114+L114+M114+N114+O114</f>
        <v>102500</v>
      </c>
      <c r="Q114" s="1">
        <v>0</v>
      </c>
      <c r="R114" s="1">
        <f>P114-Q114</f>
        <v>102500</v>
      </c>
    </row>
    <row r="115" spans="1:18" ht="24" x14ac:dyDescent="0.25">
      <c r="A115" s="16" t="s">
        <v>218</v>
      </c>
      <c r="B115" s="16" t="s">
        <v>219</v>
      </c>
      <c r="C115" s="17" t="s">
        <v>27</v>
      </c>
      <c r="D115" s="8"/>
      <c r="E115" s="8"/>
      <c r="F115" s="8"/>
      <c r="G115" s="8"/>
      <c r="H115" s="8"/>
      <c r="I115" s="4"/>
      <c r="J115" s="7"/>
      <c r="K115" s="7"/>
      <c r="L115" s="3"/>
      <c r="M115" s="5"/>
      <c r="N115" s="5"/>
      <c r="O115" s="5"/>
      <c r="P115" s="5"/>
      <c r="Q115" s="1"/>
      <c r="R115" s="1"/>
    </row>
    <row r="116" spans="1:18" ht="24" x14ac:dyDescent="0.25">
      <c r="A116" s="16" t="s">
        <v>220</v>
      </c>
      <c r="B116" s="16" t="s">
        <v>221</v>
      </c>
      <c r="C116" s="17" t="s">
        <v>27</v>
      </c>
      <c r="D116" s="8"/>
      <c r="E116" s="8"/>
      <c r="F116" s="8"/>
      <c r="G116" s="8"/>
      <c r="H116" s="8"/>
      <c r="I116" s="4"/>
      <c r="J116" s="7"/>
      <c r="K116" s="7"/>
      <c r="L116" s="3"/>
      <c r="M116" s="5"/>
      <c r="N116" s="5"/>
      <c r="O116" s="5"/>
      <c r="P116" s="5"/>
      <c r="Q116" s="1"/>
      <c r="R116" s="1"/>
    </row>
    <row r="117" spans="1:18" ht="24" x14ac:dyDescent="0.25">
      <c r="A117" s="16" t="s">
        <v>222</v>
      </c>
      <c r="B117" s="16" t="s">
        <v>223</v>
      </c>
      <c r="C117" s="17" t="s">
        <v>27</v>
      </c>
      <c r="D117" s="8"/>
      <c r="E117" s="8"/>
      <c r="F117" s="8"/>
      <c r="G117" s="8"/>
      <c r="H117" s="8"/>
      <c r="I117" s="4"/>
      <c r="J117" s="7"/>
      <c r="K117" s="7"/>
      <c r="L117" s="3"/>
      <c r="M117" s="5"/>
      <c r="N117" s="5"/>
      <c r="O117" s="5"/>
      <c r="P117" s="5"/>
      <c r="Q117" s="1"/>
      <c r="R117" s="1"/>
    </row>
    <row r="118" spans="1:18" ht="15" customHeight="1" x14ac:dyDescent="0.25">
      <c r="A118" s="10" t="s">
        <v>224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9">
        <v>102500</v>
      </c>
      <c r="Q118" s="9"/>
      <c r="R118" s="9"/>
    </row>
    <row r="119" spans="1:18" ht="24" x14ac:dyDescent="0.25">
      <c r="A119" s="16" t="s">
        <v>225</v>
      </c>
      <c r="B119" s="16" t="s">
        <v>226</v>
      </c>
      <c r="C119" s="17" t="s">
        <v>27</v>
      </c>
      <c r="D119" s="8">
        <v>46283</v>
      </c>
      <c r="E119" s="7"/>
      <c r="F119" s="8">
        <v>46283</v>
      </c>
      <c r="G119" s="6">
        <v>1</v>
      </c>
      <c r="H119" s="5">
        <v>102500</v>
      </c>
      <c r="I119" s="4">
        <f>G119*H119</f>
        <v>102500</v>
      </c>
      <c r="J119" s="7"/>
      <c r="K119" s="7"/>
      <c r="L119" s="3">
        <v>0</v>
      </c>
      <c r="M119" s="5">
        <v>0</v>
      </c>
      <c r="N119" s="5">
        <v>0</v>
      </c>
      <c r="O119" s="5">
        <v>0</v>
      </c>
      <c r="P119" s="2">
        <f>I119+L119+M119+N119+O119</f>
        <v>102500</v>
      </c>
      <c r="Q119" s="1">
        <v>0</v>
      </c>
      <c r="R119" s="1">
        <f>P119-Q119</f>
        <v>102500</v>
      </c>
    </row>
    <row r="120" spans="1:18" ht="24" x14ac:dyDescent="0.25">
      <c r="A120" s="16" t="s">
        <v>227</v>
      </c>
      <c r="B120" s="16" t="s">
        <v>228</v>
      </c>
      <c r="C120" s="17" t="s">
        <v>27</v>
      </c>
      <c r="D120" s="8"/>
      <c r="E120" s="8"/>
      <c r="F120" s="8"/>
      <c r="G120" s="8"/>
      <c r="H120" s="8"/>
      <c r="I120" s="4"/>
      <c r="J120" s="7"/>
      <c r="K120" s="7"/>
      <c r="L120" s="3"/>
      <c r="M120" s="5"/>
      <c r="N120" s="5"/>
      <c r="O120" s="5"/>
      <c r="P120" s="5"/>
      <c r="Q120" s="1"/>
      <c r="R120" s="1"/>
    </row>
    <row r="121" spans="1:18" ht="24" x14ac:dyDescent="0.25">
      <c r="A121" s="16" t="s">
        <v>229</v>
      </c>
      <c r="B121" s="16" t="s">
        <v>230</v>
      </c>
      <c r="C121" s="17" t="s">
        <v>27</v>
      </c>
      <c r="D121" s="8"/>
      <c r="E121" s="8"/>
      <c r="F121" s="8"/>
      <c r="G121" s="8"/>
      <c r="H121" s="8"/>
      <c r="I121" s="4"/>
      <c r="J121" s="7"/>
      <c r="K121" s="7"/>
      <c r="L121" s="3"/>
      <c r="M121" s="5"/>
      <c r="N121" s="5"/>
      <c r="O121" s="5"/>
      <c r="P121" s="5"/>
      <c r="Q121" s="1"/>
      <c r="R121" s="1"/>
    </row>
    <row r="122" spans="1:18" ht="24" x14ac:dyDescent="0.25">
      <c r="A122" s="16" t="s">
        <v>231</v>
      </c>
      <c r="B122" s="16" t="s">
        <v>232</v>
      </c>
      <c r="C122" s="17" t="s">
        <v>27</v>
      </c>
      <c r="D122" s="8"/>
      <c r="E122" s="8"/>
      <c r="F122" s="8"/>
      <c r="G122" s="8"/>
      <c r="H122" s="8"/>
      <c r="I122" s="4"/>
      <c r="J122" s="7"/>
      <c r="K122" s="7"/>
      <c r="L122" s="3"/>
      <c r="M122" s="5"/>
      <c r="N122" s="5"/>
      <c r="O122" s="5"/>
      <c r="P122" s="5"/>
      <c r="Q122" s="1"/>
      <c r="R122" s="1"/>
    </row>
    <row r="123" spans="1:18" ht="15" customHeight="1" x14ac:dyDescent="0.25">
      <c r="A123" s="10" t="s">
        <v>233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9">
        <v>102500</v>
      </c>
      <c r="Q123" s="9"/>
      <c r="R123" s="9"/>
    </row>
    <row r="124" spans="1:18" ht="24" x14ac:dyDescent="0.25">
      <c r="A124" s="16" t="s">
        <v>234</v>
      </c>
      <c r="B124" s="16" t="s">
        <v>235</v>
      </c>
      <c r="C124" s="17" t="s">
        <v>27</v>
      </c>
      <c r="D124" s="8">
        <v>46286</v>
      </c>
      <c r="E124" s="7"/>
      <c r="F124" s="8">
        <v>46286</v>
      </c>
      <c r="G124" s="6">
        <v>1</v>
      </c>
      <c r="H124" s="5">
        <v>102500</v>
      </c>
      <c r="I124" s="4">
        <f>G124*H124</f>
        <v>102500</v>
      </c>
      <c r="J124" s="7"/>
      <c r="K124" s="7"/>
      <c r="L124" s="3">
        <v>0</v>
      </c>
      <c r="M124" s="5">
        <v>0</v>
      </c>
      <c r="N124" s="5">
        <v>0</v>
      </c>
      <c r="O124" s="5">
        <v>0</v>
      </c>
      <c r="P124" s="2">
        <f>I124+L124+M124+N124+O124</f>
        <v>102500</v>
      </c>
      <c r="Q124" s="1">
        <v>0</v>
      </c>
      <c r="R124" s="1">
        <f>P124-Q124</f>
        <v>102500</v>
      </c>
    </row>
    <row r="125" spans="1:18" ht="24" x14ac:dyDescent="0.25">
      <c r="A125" s="16" t="s">
        <v>236</v>
      </c>
      <c r="B125" s="16" t="s">
        <v>237</v>
      </c>
      <c r="C125" s="17" t="s">
        <v>27</v>
      </c>
      <c r="D125" s="8"/>
      <c r="E125" s="8"/>
      <c r="F125" s="8"/>
      <c r="G125" s="8"/>
      <c r="H125" s="8"/>
      <c r="I125" s="4"/>
      <c r="J125" s="7"/>
      <c r="K125" s="7"/>
      <c r="L125" s="3"/>
      <c r="M125" s="5"/>
      <c r="N125" s="5"/>
      <c r="O125" s="5"/>
      <c r="P125" s="5"/>
      <c r="Q125" s="1"/>
      <c r="R125" s="1"/>
    </row>
    <row r="126" spans="1:18" ht="24" x14ac:dyDescent="0.25">
      <c r="A126" s="16" t="s">
        <v>238</v>
      </c>
      <c r="B126" s="16" t="s">
        <v>239</v>
      </c>
      <c r="C126" s="17" t="s">
        <v>27</v>
      </c>
      <c r="D126" s="8"/>
      <c r="E126" s="8"/>
      <c r="F126" s="8"/>
      <c r="G126" s="8"/>
      <c r="H126" s="8"/>
      <c r="I126" s="4"/>
      <c r="J126" s="7"/>
      <c r="K126" s="7"/>
      <c r="L126" s="3"/>
      <c r="M126" s="5"/>
      <c r="N126" s="5"/>
      <c r="O126" s="5"/>
      <c r="P126" s="5"/>
      <c r="Q126" s="1"/>
      <c r="R126" s="1"/>
    </row>
    <row r="127" spans="1:18" ht="24" x14ac:dyDescent="0.25">
      <c r="A127" s="16" t="s">
        <v>240</v>
      </c>
      <c r="B127" s="16" t="s">
        <v>241</v>
      </c>
      <c r="C127" s="17" t="s">
        <v>27</v>
      </c>
      <c r="D127" s="8"/>
      <c r="E127" s="8"/>
      <c r="F127" s="8"/>
      <c r="G127" s="8"/>
      <c r="H127" s="8"/>
      <c r="I127" s="4"/>
      <c r="J127" s="7"/>
      <c r="K127" s="7"/>
      <c r="L127" s="3"/>
      <c r="M127" s="5"/>
      <c r="N127" s="5"/>
      <c r="O127" s="5"/>
      <c r="P127" s="5"/>
      <c r="Q127" s="1"/>
      <c r="R127" s="1"/>
    </row>
    <row r="128" spans="1:18" ht="15" customHeight="1" x14ac:dyDescent="0.25">
      <c r="A128" s="11" t="s">
        <v>242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ht="15" customHeight="1" x14ac:dyDescent="0.25">
      <c r="A129" s="10" t="s">
        <v>243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9">
        <v>615000</v>
      </c>
      <c r="Q129" s="9"/>
      <c r="R129" s="9"/>
    </row>
    <row r="130" spans="1:18" ht="24" x14ac:dyDescent="0.25">
      <c r="A130" s="16" t="s">
        <v>244</v>
      </c>
      <c r="B130" s="16" t="s">
        <v>245</v>
      </c>
      <c r="C130" s="17" t="s">
        <v>27</v>
      </c>
      <c r="D130" s="8">
        <v>46287</v>
      </c>
      <c r="E130" s="7"/>
      <c r="F130" s="8">
        <v>46287</v>
      </c>
      <c r="G130" s="6">
        <v>6</v>
      </c>
      <c r="H130" s="5">
        <v>102500</v>
      </c>
      <c r="I130" s="4">
        <f>G130*H130</f>
        <v>615000</v>
      </c>
      <c r="J130" s="7"/>
      <c r="K130" s="7"/>
      <c r="L130" s="3">
        <v>0</v>
      </c>
      <c r="M130" s="5">
        <v>0</v>
      </c>
      <c r="N130" s="5">
        <v>0</v>
      </c>
      <c r="O130" s="5">
        <v>0</v>
      </c>
      <c r="P130" s="2">
        <f>I130+L130+M130+N130+O130</f>
        <v>615000</v>
      </c>
      <c r="Q130" s="1">
        <v>0</v>
      </c>
      <c r="R130" s="1">
        <f>P130-Q130</f>
        <v>615000</v>
      </c>
    </row>
    <row r="131" spans="1:18" ht="24" x14ac:dyDescent="0.25">
      <c r="A131" s="16" t="s">
        <v>246</v>
      </c>
      <c r="B131" s="16" t="s">
        <v>247</v>
      </c>
      <c r="C131" s="17" t="s">
        <v>27</v>
      </c>
      <c r="D131" s="8"/>
      <c r="E131" s="8"/>
      <c r="F131" s="8"/>
      <c r="G131" s="8"/>
      <c r="H131" s="8"/>
      <c r="I131" s="4"/>
      <c r="J131" s="7"/>
      <c r="K131" s="7"/>
      <c r="L131" s="3"/>
      <c r="M131" s="5"/>
      <c r="N131" s="5"/>
      <c r="O131" s="5"/>
      <c r="P131" s="5"/>
      <c r="Q131" s="1"/>
      <c r="R131" s="1"/>
    </row>
    <row r="132" spans="1:18" ht="36" x14ac:dyDescent="0.25">
      <c r="A132" s="16" t="s">
        <v>248</v>
      </c>
      <c r="B132" s="16" t="s">
        <v>249</v>
      </c>
      <c r="C132" s="17" t="s">
        <v>27</v>
      </c>
      <c r="D132" s="8"/>
      <c r="E132" s="8"/>
      <c r="F132" s="8"/>
      <c r="G132" s="8"/>
      <c r="H132" s="8"/>
      <c r="I132" s="4"/>
      <c r="J132" s="7"/>
      <c r="K132" s="7"/>
      <c r="L132" s="3"/>
      <c r="M132" s="5"/>
      <c r="N132" s="5"/>
      <c r="O132" s="5"/>
      <c r="P132" s="5"/>
      <c r="Q132" s="1"/>
      <c r="R132" s="1"/>
    </row>
    <row r="133" spans="1:18" ht="24" x14ac:dyDescent="0.25">
      <c r="A133" s="16" t="s">
        <v>250</v>
      </c>
      <c r="B133" s="16" t="s">
        <v>251</v>
      </c>
      <c r="C133" s="17" t="s">
        <v>27</v>
      </c>
      <c r="D133" s="8"/>
      <c r="E133" s="8"/>
      <c r="F133" s="8"/>
      <c r="G133" s="8"/>
      <c r="H133" s="8"/>
      <c r="I133" s="4"/>
      <c r="J133" s="7"/>
      <c r="K133" s="7"/>
      <c r="L133" s="3"/>
      <c r="M133" s="5"/>
      <c r="N133" s="5"/>
      <c r="O133" s="5"/>
      <c r="P133" s="5"/>
      <c r="Q133" s="1"/>
      <c r="R133" s="1"/>
    </row>
    <row r="134" spans="1:18" ht="15" customHeight="1" x14ac:dyDescent="0.25">
      <c r="A134" s="10" t="s">
        <v>252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9">
        <v>410000</v>
      </c>
      <c r="Q134" s="9"/>
      <c r="R134" s="9"/>
    </row>
    <row r="135" spans="1:18" ht="24" x14ac:dyDescent="0.25">
      <c r="A135" s="16" t="s">
        <v>253</v>
      </c>
      <c r="B135" s="16" t="s">
        <v>254</v>
      </c>
      <c r="C135" s="17" t="s">
        <v>27</v>
      </c>
      <c r="D135" s="8">
        <v>46288</v>
      </c>
      <c r="E135" s="7"/>
      <c r="F135" s="8">
        <v>46288</v>
      </c>
      <c r="G135" s="6">
        <v>4</v>
      </c>
      <c r="H135" s="5">
        <v>102500</v>
      </c>
      <c r="I135" s="4">
        <f>G135*H135</f>
        <v>410000</v>
      </c>
      <c r="J135" s="7"/>
      <c r="K135" s="7"/>
      <c r="L135" s="3">
        <v>0</v>
      </c>
      <c r="M135" s="5">
        <v>0</v>
      </c>
      <c r="N135" s="5">
        <v>0</v>
      </c>
      <c r="O135" s="5">
        <v>0</v>
      </c>
      <c r="P135" s="2">
        <f>I135+L135+M135+N135+O135</f>
        <v>410000</v>
      </c>
      <c r="Q135" s="1">
        <v>0</v>
      </c>
      <c r="R135" s="1">
        <f>P135-Q135</f>
        <v>410000</v>
      </c>
    </row>
    <row r="136" spans="1:18" ht="36" x14ac:dyDescent="0.25">
      <c r="A136" s="16" t="s">
        <v>255</v>
      </c>
      <c r="B136" s="16" t="s">
        <v>256</v>
      </c>
      <c r="C136" s="17" t="s">
        <v>27</v>
      </c>
      <c r="D136" s="8"/>
      <c r="E136" s="8"/>
      <c r="F136" s="8"/>
      <c r="G136" s="8"/>
      <c r="H136" s="8"/>
      <c r="I136" s="4"/>
      <c r="J136" s="7"/>
      <c r="K136" s="7"/>
      <c r="L136" s="3"/>
      <c r="M136" s="5"/>
      <c r="N136" s="5"/>
      <c r="O136" s="5"/>
      <c r="P136" s="5"/>
      <c r="Q136" s="1"/>
      <c r="R136" s="1"/>
    </row>
    <row r="137" spans="1:18" ht="24" x14ac:dyDescent="0.25">
      <c r="A137" s="16" t="s">
        <v>257</v>
      </c>
      <c r="B137" s="16" t="s">
        <v>258</v>
      </c>
      <c r="C137" s="17" t="s">
        <v>27</v>
      </c>
      <c r="D137" s="8"/>
      <c r="E137" s="8"/>
      <c r="F137" s="8"/>
      <c r="G137" s="8"/>
      <c r="H137" s="8"/>
      <c r="I137" s="4"/>
      <c r="J137" s="7"/>
      <c r="K137" s="7"/>
      <c r="L137" s="3"/>
      <c r="M137" s="5"/>
      <c r="N137" s="5"/>
      <c r="O137" s="5"/>
      <c r="P137" s="5"/>
      <c r="Q137" s="1"/>
      <c r="R137" s="1"/>
    </row>
    <row r="138" spans="1:18" ht="24" x14ac:dyDescent="0.25">
      <c r="A138" s="16" t="s">
        <v>259</v>
      </c>
      <c r="B138" s="16" t="s">
        <v>260</v>
      </c>
      <c r="C138" s="17" t="s">
        <v>27</v>
      </c>
      <c r="D138" s="8"/>
      <c r="E138" s="8"/>
      <c r="F138" s="8"/>
      <c r="G138" s="8"/>
      <c r="H138" s="8"/>
      <c r="I138" s="4"/>
      <c r="J138" s="7"/>
      <c r="K138" s="7"/>
      <c r="L138" s="3"/>
      <c r="M138" s="5"/>
      <c r="N138" s="5"/>
      <c r="O138" s="5"/>
      <c r="P138" s="5"/>
      <c r="Q138" s="1"/>
      <c r="R138" s="1"/>
    </row>
    <row r="139" spans="1:18" ht="15" customHeight="1" x14ac:dyDescent="0.25">
      <c r="A139" s="10" t="s">
        <v>261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9">
        <v>1025000</v>
      </c>
      <c r="Q139" s="9"/>
      <c r="R139" s="9"/>
    </row>
    <row r="140" spans="1:18" ht="24" x14ac:dyDescent="0.25">
      <c r="A140" s="16" t="s">
        <v>262</v>
      </c>
      <c r="B140" s="16" t="s">
        <v>263</v>
      </c>
      <c r="C140" s="17" t="s">
        <v>27</v>
      </c>
      <c r="D140" s="8">
        <v>46289</v>
      </c>
      <c r="E140" s="7"/>
      <c r="F140" s="8">
        <v>46289</v>
      </c>
      <c r="G140" s="6">
        <v>10</v>
      </c>
      <c r="H140" s="5">
        <v>102500</v>
      </c>
      <c r="I140" s="4">
        <f>G140*H140</f>
        <v>1025000</v>
      </c>
      <c r="J140" s="7"/>
      <c r="K140" s="7"/>
      <c r="L140" s="3">
        <v>0</v>
      </c>
      <c r="M140" s="5">
        <v>0</v>
      </c>
      <c r="N140" s="5">
        <v>0</v>
      </c>
      <c r="O140" s="5">
        <v>0</v>
      </c>
      <c r="P140" s="2">
        <f>I140+L140+M140+N140+O140</f>
        <v>1025000</v>
      </c>
      <c r="Q140" s="1">
        <v>0</v>
      </c>
      <c r="R140" s="1">
        <f>P140-Q140</f>
        <v>1025000</v>
      </c>
    </row>
    <row r="141" spans="1:18" ht="24" x14ac:dyDescent="0.25">
      <c r="A141" s="16" t="s">
        <v>264</v>
      </c>
      <c r="B141" s="16" t="s">
        <v>265</v>
      </c>
      <c r="C141" s="17" t="s">
        <v>27</v>
      </c>
      <c r="D141" s="8"/>
      <c r="E141" s="8"/>
      <c r="F141" s="8"/>
      <c r="G141" s="8"/>
      <c r="H141" s="8"/>
      <c r="I141" s="4"/>
      <c r="J141" s="7"/>
      <c r="K141" s="7"/>
      <c r="L141" s="3"/>
      <c r="M141" s="5"/>
      <c r="N141" s="5"/>
      <c r="O141" s="5"/>
      <c r="P141" s="5"/>
      <c r="Q141" s="1"/>
      <c r="R141" s="1"/>
    </row>
    <row r="142" spans="1:18" ht="24" x14ac:dyDescent="0.25">
      <c r="A142" s="16" t="s">
        <v>266</v>
      </c>
      <c r="B142" s="16" t="s">
        <v>267</v>
      </c>
      <c r="C142" s="17" t="s">
        <v>27</v>
      </c>
      <c r="D142" s="8"/>
      <c r="E142" s="8"/>
      <c r="F142" s="8"/>
      <c r="G142" s="8"/>
      <c r="H142" s="8"/>
      <c r="I142" s="4"/>
      <c r="J142" s="7"/>
      <c r="K142" s="7"/>
      <c r="L142" s="3"/>
      <c r="M142" s="5"/>
      <c r="N142" s="5"/>
      <c r="O142" s="5"/>
      <c r="P142" s="5"/>
      <c r="Q142" s="1"/>
      <c r="R142" s="1"/>
    </row>
    <row r="143" spans="1:18" ht="24" x14ac:dyDescent="0.25">
      <c r="A143" s="16" t="s">
        <v>268</v>
      </c>
      <c r="B143" s="16" t="s">
        <v>269</v>
      </c>
      <c r="C143" s="17" t="s">
        <v>27</v>
      </c>
      <c r="D143" s="8"/>
      <c r="E143" s="8"/>
      <c r="F143" s="8"/>
      <c r="G143" s="8"/>
      <c r="H143" s="8"/>
      <c r="I143" s="4"/>
      <c r="J143" s="7"/>
      <c r="K143" s="7"/>
      <c r="L143" s="3"/>
      <c r="M143" s="5"/>
      <c r="N143" s="5"/>
      <c r="O143" s="5"/>
      <c r="P143" s="5"/>
      <c r="Q143" s="1"/>
      <c r="R143" s="1"/>
    </row>
    <row r="144" spans="1:18" ht="15" customHeight="1" x14ac:dyDescent="0.25">
      <c r="A144" s="10" t="s">
        <v>270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9">
        <v>410000</v>
      </c>
      <c r="Q144" s="9"/>
      <c r="R144" s="9"/>
    </row>
    <row r="145" spans="1:18" ht="24" x14ac:dyDescent="0.25">
      <c r="A145" s="16" t="s">
        <v>271</v>
      </c>
      <c r="B145" s="16" t="s">
        <v>272</v>
      </c>
      <c r="C145" s="17" t="s">
        <v>27</v>
      </c>
      <c r="D145" s="8">
        <v>46290</v>
      </c>
      <c r="E145" s="7"/>
      <c r="F145" s="8">
        <v>46290</v>
      </c>
      <c r="G145" s="6">
        <v>4</v>
      </c>
      <c r="H145" s="5">
        <v>102500</v>
      </c>
      <c r="I145" s="4">
        <f>G145*H145</f>
        <v>410000</v>
      </c>
      <c r="J145" s="7"/>
      <c r="K145" s="7"/>
      <c r="L145" s="3">
        <v>0</v>
      </c>
      <c r="M145" s="5">
        <v>0</v>
      </c>
      <c r="N145" s="5">
        <v>0</v>
      </c>
      <c r="O145" s="5">
        <v>0</v>
      </c>
      <c r="P145" s="2">
        <f>I145+L145+M145+N145+O145</f>
        <v>410000</v>
      </c>
      <c r="Q145" s="1">
        <v>0</v>
      </c>
      <c r="R145" s="1">
        <f>P145-Q145</f>
        <v>410000</v>
      </c>
    </row>
    <row r="146" spans="1:18" ht="24" x14ac:dyDescent="0.25">
      <c r="A146" s="16" t="s">
        <v>273</v>
      </c>
      <c r="B146" s="16" t="s">
        <v>274</v>
      </c>
      <c r="C146" s="17" t="s">
        <v>27</v>
      </c>
      <c r="D146" s="8"/>
      <c r="E146" s="8"/>
      <c r="F146" s="8"/>
      <c r="G146" s="8"/>
      <c r="H146" s="8"/>
      <c r="I146" s="4"/>
      <c r="J146" s="7"/>
      <c r="K146" s="7"/>
      <c r="L146" s="3"/>
      <c r="M146" s="5"/>
      <c r="N146" s="5"/>
      <c r="O146" s="5"/>
      <c r="P146" s="5"/>
      <c r="Q146" s="1"/>
      <c r="R146" s="1"/>
    </row>
    <row r="147" spans="1:18" ht="24" x14ac:dyDescent="0.25">
      <c r="A147" s="16" t="s">
        <v>275</v>
      </c>
      <c r="B147" s="16" t="s">
        <v>276</v>
      </c>
      <c r="C147" s="17" t="s">
        <v>27</v>
      </c>
      <c r="D147" s="8"/>
      <c r="E147" s="8"/>
      <c r="F147" s="8"/>
      <c r="G147" s="8"/>
      <c r="H147" s="8"/>
      <c r="I147" s="4"/>
      <c r="J147" s="7"/>
      <c r="K147" s="7"/>
      <c r="L147" s="3"/>
      <c r="M147" s="5"/>
      <c r="N147" s="5"/>
      <c r="O147" s="5"/>
      <c r="P147" s="5"/>
      <c r="Q147" s="1"/>
      <c r="R147" s="1"/>
    </row>
    <row r="148" spans="1:18" ht="24" x14ac:dyDescent="0.25">
      <c r="A148" s="16" t="s">
        <v>277</v>
      </c>
      <c r="B148" s="16" t="s">
        <v>278</v>
      </c>
      <c r="C148" s="17" t="s">
        <v>27</v>
      </c>
      <c r="D148" s="8"/>
      <c r="E148" s="8"/>
      <c r="F148" s="8"/>
      <c r="G148" s="8"/>
      <c r="H148" s="8"/>
      <c r="I148" s="4"/>
      <c r="J148" s="7"/>
      <c r="K148" s="7"/>
      <c r="L148" s="3"/>
      <c r="M148" s="5"/>
      <c r="N148" s="5"/>
      <c r="O148" s="5"/>
      <c r="P148" s="5"/>
      <c r="Q148" s="1"/>
      <c r="R148" s="1"/>
    </row>
    <row r="149" spans="1:18" ht="15" customHeight="1" x14ac:dyDescent="0.25">
      <c r="A149" s="10" t="s">
        <v>279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9">
        <v>307500</v>
      </c>
      <c r="Q149" s="9"/>
      <c r="R149" s="9"/>
    </row>
    <row r="150" spans="1:18" ht="24" x14ac:dyDescent="0.25">
      <c r="A150" s="16" t="s">
        <v>280</v>
      </c>
      <c r="B150" s="16" t="s">
        <v>281</v>
      </c>
      <c r="C150" s="17" t="s">
        <v>27</v>
      </c>
      <c r="D150" s="8">
        <v>46293</v>
      </c>
      <c r="E150" s="7"/>
      <c r="F150" s="8">
        <v>46293</v>
      </c>
      <c r="G150" s="6">
        <v>3</v>
      </c>
      <c r="H150" s="5">
        <v>102500</v>
      </c>
      <c r="I150" s="4">
        <f>G150*H150</f>
        <v>307500</v>
      </c>
      <c r="J150" s="7"/>
      <c r="K150" s="7"/>
      <c r="L150" s="3">
        <v>0</v>
      </c>
      <c r="M150" s="5">
        <v>0</v>
      </c>
      <c r="N150" s="5">
        <v>0</v>
      </c>
      <c r="O150" s="5">
        <v>0</v>
      </c>
      <c r="P150" s="2">
        <f>I150+L150+M150+N150+O150</f>
        <v>307500</v>
      </c>
      <c r="Q150" s="1">
        <v>0</v>
      </c>
      <c r="R150" s="1">
        <f>P150-Q150</f>
        <v>307500</v>
      </c>
    </row>
    <row r="151" spans="1:18" ht="24" x14ac:dyDescent="0.25">
      <c r="A151" s="16" t="s">
        <v>282</v>
      </c>
      <c r="B151" s="16" t="s">
        <v>283</v>
      </c>
      <c r="C151" s="17" t="s">
        <v>27</v>
      </c>
      <c r="D151" s="8"/>
      <c r="E151" s="8"/>
      <c r="F151" s="8"/>
      <c r="G151" s="8"/>
      <c r="H151" s="8"/>
      <c r="I151" s="4"/>
      <c r="J151" s="7"/>
      <c r="K151" s="7"/>
      <c r="L151" s="3"/>
      <c r="M151" s="5"/>
      <c r="N151" s="5"/>
      <c r="O151" s="5"/>
      <c r="P151" s="5"/>
      <c r="Q151" s="1"/>
      <c r="R151" s="1"/>
    </row>
    <row r="152" spans="1:18" ht="24" x14ac:dyDescent="0.25">
      <c r="A152" s="16" t="s">
        <v>284</v>
      </c>
      <c r="B152" s="16" t="s">
        <v>285</v>
      </c>
      <c r="C152" s="17" t="s">
        <v>27</v>
      </c>
      <c r="D152" s="8"/>
      <c r="E152" s="8"/>
      <c r="F152" s="8"/>
      <c r="G152" s="8"/>
      <c r="H152" s="8"/>
      <c r="I152" s="4"/>
      <c r="J152" s="7"/>
      <c r="K152" s="7"/>
      <c r="L152" s="3"/>
      <c r="M152" s="5"/>
      <c r="N152" s="5"/>
      <c r="O152" s="5"/>
      <c r="P152" s="5"/>
      <c r="Q152" s="1"/>
      <c r="R152" s="1"/>
    </row>
    <row r="153" spans="1:18" ht="24" x14ac:dyDescent="0.25">
      <c r="A153" s="16" t="s">
        <v>286</v>
      </c>
      <c r="B153" s="16" t="s">
        <v>287</v>
      </c>
      <c r="C153" s="17" t="s">
        <v>27</v>
      </c>
      <c r="D153" s="8"/>
      <c r="E153" s="8"/>
      <c r="F153" s="8"/>
      <c r="G153" s="8"/>
      <c r="H153" s="8"/>
      <c r="I153" s="4"/>
      <c r="J153" s="7"/>
      <c r="K153" s="7"/>
      <c r="L153" s="3"/>
      <c r="M153" s="5"/>
      <c r="N153" s="5"/>
      <c r="O153" s="5"/>
      <c r="P153" s="5"/>
      <c r="Q153" s="1"/>
      <c r="R153" s="1"/>
    </row>
    <row r="154" spans="1:18" ht="15" customHeight="1" x14ac:dyDescent="0.25">
      <c r="A154" s="10" t="s">
        <v>288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9">
        <v>410000</v>
      </c>
      <c r="Q154" s="9"/>
      <c r="R154" s="9"/>
    </row>
    <row r="155" spans="1:18" ht="24" x14ac:dyDescent="0.25">
      <c r="A155" s="16" t="s">
        <v>289</v>
      </c>
      <c r="B155" s="16" t="s">
        <v>290</v>
      </c>
      <c r="C155" s="17" t="s">
        <v>27</v>
      </c>
      <c r="D155" s="8">
        <v>46294</v>
      </c>
      <c r="E155" s="7"/>
      <c r="F155" s="8">
        <v>46294</v>
      </c>
      <c r="G155" s="6">
        <v>4</v>
      </c>
      <c r="H155" s="5">
        <v>102500</v>
      </c>
      <c r="I155" s="4">
        <f>G155*H155</f>
        <v>410000</v>
      </c>
      <c r="J155" s="7"/>
      <c r="K155" s="7"/>
      <c r="L155" s="3">
        <v>0</v>
      </c>
      <c r="M155" s="5">
        <v>0</v>
      </c>
      <c r="N155" s="5">
        <v>0</v>
      </c>
      <c r="O155" s="5">
        <v>0</v>
      </c>
      <c r="P155" s="2">
        <f>I155+L155+M155+N155+O155</f>
        <v>410000</v>
      </c>
      <c r="Q155" s="1">
        <v>0</v>
      </c>
      <c r="R155" s="1">
        <f>P155-Q155</f>
        <v>410000</v>
      </c>
    </row>
    <row r="156" spans="1:18" ht="24" x14ac:dyDescent="0.25">
      <c r="A156" s="16" t="s">
        <v>291</v>
      </c>
      <c r="B156" s="16" t="s">
        <v>292</v>
      </c>
      <c r="C156" s="17" t="s">
        <v>27</v>
      </c>
      <c r="D156" s="8"/>
      <c r="E156" s="8"/>
      <c r="F156" s="8"/>
      <c r="G156" s="8"/>
      <c r="H156" s="8"/>
      <c r="I156" s="4"/>
      <c r="J156" s="7"/>
      <c r="K156" s="7"/>
      <c r="L156" s="3"/>
      <c r="M156" s="5"/>
      <c r="N156" s="5"/>
      <c r="O156" s="5"/>
      <c r="P156" s="5"/>
      <c r="Q156" s="1"/>
      <c r="R156" s="1"/>
    </row>
    <row r="157" spans="1:18" ht="24" x14ac:dyDescent="0.25">
      <c r="A157" s="16" t="s">
        <v>293</v>
      </c>
      <c r="B157" s="16" t="s">
        <v>294</v>
      </c>
      <c r="C157" s="17" t="s">
        <v>27</v>
      </c>
      <c r="D157" s="8"/>
      <c r="E157" s="8"/>
      <c r="F157" s="8"/>
      <c r="G157" s="8"/>
      <c r="H157" s="8"/>
      <c r="I157" s="4"/>
      <c r="J157" s="7"/>
      <c r="K157" s="7"/>
      <c r="L157" s="3"/>
      <c r="M157" s="5"/>
      <c r="N157" s="5"/>
      <c r="O157" s="5"/>
      <c r="P157" s="5"/>
      <c r="Q157" s="1"/>
      <c r="R157" s="1"/>
    </row>
    <row r="158" spans="1:18" ht="24" x14ac:dyDescent="0.25">
      <c r="A158" s="16" t="s">
        <v>295</v>
      </c>
      <c r="B158" s="16" t="s">
        <v>296</v>
      </c>
      <c r="C158" s="17" t="s">
        <v>27</v>
      </c>
      <c r="D158" s="8"/>
      <c r="E158" s="8"/>
      <c r="F158" s="8"/>
      <c r="G158" s="8"/>
      <c r="H158" s="8"/>
      <c r="I158" s="4"/>
      <c r="J158" s="7"/>
      <c r="K158" s="7"/>
      <c r="L158" s="3"/>
      <c r="M158" s="5"/>
      <c r="N158" s="5"/>
      <c r="O158" s="5"/>
      <c r="P158" s="5"/>
      <c r="Q158" s="1"/>
      <c r="R158" s="1"/>
    </row>
    <row r="159" spans="1:18" ht="15" customHeight="1" x14ac:dyDescent="0.25">
      <c r="A159" s="10" t="s">
        <v>297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9">
        <v>512500</v>
      </c>
      <c r="Q159" s="9"/>
      <c r="R159" s="9"/>
    </row>
    <row r="160" spans="1:18" ht="24" x14ac:dyDescent="0.25">
      <c r="A160" s="16" t="s">
        <v>298</v>
      </c>
      <c r="B160" s="16" t="s">
        <v>299</v>
      </c>
      <c r="C160" s="17" t="s">
        <v>27</v>
      </c>
      <c r="D160" s="8">
        <v>46295</v>
      </c>
      <c r="E160" s="7"/>
      <c r="F160" s="8">
        <v>46295</v>
      </c>
      <c r="G160" s="6">
        <v>5</v>
      </c>
      <c r="H160" s="5">
        <v>102500</v>
      </c>
      <c r="I160" s="4">
        <f>G160*H160</f>
        <v>512500</v>
      </c>
      <c r="J160" s="7"/>
      <c r="K160" s="7"/>
      <c r="L160" s="3">
        <v>0</v>
      </c>
      <c r="M160" s="5">
        <v>0</v>
      </c>
      <c r="N160" s="5">
        <v>0</v>
      </c>
      <c r="O160" s="5">
        <v>0</v>
      </c>
      <c r="P160" s="2">
        <f>I160+L160+M160+N160+O160</f>
        <v>512500</v>
      </c>
      <c r="Q160" s="1">
        <v>0</v>
      </c>
      <c r="R160" s="1">
        <f>P160-Q160</f>
        <v>512500</v>
      </c>
    </row>
    <row r="161" spans="1:18" ht="24" x14ac:dyDescent="0.25">
      <c r="A161" s="16" t="s">
        <v>300</v>
      </c>
      <c r="B161" s="16" t="s">
        <v>301</v>
      </c>
      <c r="C161" s="17" t="s">
        <v>27</v>
      </c>
      <c r="D161" s="8"/>
      <c r="E161" s="8"/>
      <c r="F161" s="8"/>
      <c r="G161" s="8"/>
      <c r="H161" s="8"/>
      <c r="I161" s="4"/>
      <c r="J161" s="7"/>
      <c r="K161" s="7"/>
      <c r="L161" s="3"/>
      <c r="M161" s="5"/>
      <c r="N161" s="5"/>
      <c r="O161" s="5"/>
      <c r="P161" s="5"/>
      <c r="Q161" s="1"/>
      <c r="R161" s="1"/>
    </row>
    <row r="162" spans="1:18" ht="24" x14ac:dyDescent="0.25">
      <c r="A162" s="16" t="s">
        <v>302</v>
      </c>
      <c r="B162" s="16" t="s">
        <v>303</v>
      </c>
      <c r="C162" s="17" t="s">
        <v>27</v>
      </c>
      <c r="D162" s="8"/>
      <c r="E162" s="8"/>
      <c r="F162" s="8"/>
      <c r="G162" s="8"/>
      <c r="H162" s="8"/>
      <c r="I162" s="4"/>
      <c r="J162" s="7"/>
      <c r="K162" s="7"/>
      <c r="L162" s="3"/>
      <c r="M162" s="5"/>
      <c r="N162" s="5"/>
      <c r="O162" s="5"/>
      <c r="P162" s="5"/>
      <c r="Q162" s="1"/>
      <c r="R162" s="1"/>
    </row>
    <row r="163" spans="1:18" ht="36" x14ac:dyDescent="0.25">
      <c r="A163" s="16" t="s">
        <v>304</v>
      </c>
      <c r="B163" s="16" t="s">
        <v>305</v>
      </c>
      <c r="C163" s="17" t="s">
        <v>27</v>
      </c>
      <c r="D163" s="8"/>
      <c r="E163" s="8"/>
      <c r="F163" s="8"/>
      <c r="G163" s="8"/>
      <c r="H163" s="8"/>
      <c r="I163" s="4"/>
      <c r="J163" s="7"/>
      <c r="K163" s="7"/>
      <c r="L163" s="3"/>
      <c r="M163" s="5"/>
      <c r="N163" s="5"/>
      <c r="O163" s="5"/>
      <c r="P163" s="5"/>
      <c r="Q163" s="1"/>
      <c r="R163" s="1"/>
    </row>
    <row r="164" spans="1:18" ht="15" customHeight="1" x14ac:dyDescent="0.25">
      <c r="A164" s="10" t="s">
        <v>306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9">
        <v>512500</v>
      </c>
      <c r="Q164" s="9"/>
      <c r="R164" s="9"/>
    </row>
    <row r="165" spans="1:18" x14ac:dyDescent="0.25">
      <c r="A165" s="16" t="s">
        <v>307</v>
      </c>
      <c r="B165" s="16" t="s">
        <v>308</v>
      </c>
      <c r="C165" s="17" t="s">
        <v>27</v>
      </c>
      <c r="D165" s="8">
        <v>46296</v>
      </c>
      <c r="E165" s="7"/>
      <c r="F165" s="8">
        <v>46296</v>
      </c>
      <c r="G165" s="6">
        <v>5</v>
      </c>
      <c r="H165" s="5">
        <v>102500</v>
      </c>
      <c r="I165" s="4">
        <f>G165*H165</f>
        <v>512500</v>
      </c>
      <c r="J165" s="7"/>
      <c r="K165" s="7"/>
      <c r="L165" s="3">
        <v>0</v>
      </c>
      <c r="M165" s="5">
        <v>0</v>
      </c>
      <c r="N165" s="5">
        <v>0</v>
      </c>
      <c r="O165" s="5">
        <v>0</v>
      </c>
      <c r="P165" s="2">
        <f>I165+L165+M165+N165+O165</f>
        <v>512500</v>
      </c>
      <c r="Q165" s="1">
        <v>0</v>
      </c>
      <c r="R165" s="1">
        <f>P165-Q165</f>
        <v>512500</v>
      </c>
    </row>
    <row r="166" spans="1:18" ht="24" x14ac:dyDescent="0.25">
      <c r="A166" s="16" t="s">
        <v>309</v>
      </c>
      <c r="B166" s="16" t="s">
        <v>310</v>
      </c>
      <c r="C166" s="17" t="s">
        <v>27</v>
      </c>
      <c r="D166" s="8"/>
      <c r="E166" s="8"/>
      <c r="F166" s="8"/>
      <c r="G166" s="8"/>
      <c r="H166" s="8"/>
      <c r="I166" s="4"/>
      <c r="J166" s="7"/>
      <c r="K166" s="7"/>
      <c r="L166" s="3"/>
      <c r="M166" s="5"/>
      <c r="N166" s="5"/>
      <c r="O166" s="5"/>
      <c r="P166" s="5"/>
      <c r="Q166" s="1"/>
      <c r="R166" s="1"/>
    </row>
    <row r="167" spans="1:18" x14ac:dyDescent="0.25">
      <c r="A167" s="16" t="s">
        <v>311</v>
      </c>
      <c r="B167" s="16" t="s">
        <v>312</v>
      </c>
      <c r="C167" s="17" t="s">
        <v>27</v>
      </c>
      <c r="D167" s="8"/>
      <c r="E167" s="8"/>
      <c r="F167" s="8"/>
      <c r="G167" s="8"/>
      <c r="H167" s="8"/>
      <c r="I167" s="4"/>
      <c r="J167" s="7"/>
      <c r="K167" s="7"/>
      <c r="L167" s="3"/>
      <c r="M167" s="5"/>
      <c r="N167" s="5"/>
      <c r="O167" s="5"/>
      <c r="P167" s="5"/>
      <c r="Q167" s="1"/>
      <c r="R167" s="1"/>
    </row>
    <row r="168" spans="1:18" ht="36" x14ac:dyDescent="0.25">
      <c r="A168" s="16" t="s">
        <v>313</v>
      </c>
      <c r="B168" s="16" t="s">
        <v>314</v>
      </c>
      <c r="C168" s="17" t="s">
        <v>27</v>
      </c>
      <c r="D168" s="8"/>
      <c r="E168" s="8"/>
      <c r="F168" s="8"/>
      <c r="G168" s="8"/>
      <c r="H168" s="8"/>
      <c r="I168" s="4"/>
      <c r="J168" s="7"/>
      <c r="K168" s="7"/>
      <c r="L168" s="3"/>
      <c r="M168" s="5"/>
      <c r="N168" s="5"/>
      <c r="O168" s="5"/>
      <c r="P168" s="5"/>
      <c r="Q168" s="1"/>
      <c r="R168" s="1"/>
    </row>
    <row r="169" spans="1:18" ht="15" customHeight="1" x14ac:dyDescent="0.25">
      <c r="A169" s="10" t="s">
        <v>315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9">
        <v>410000</v>
      </c>
      <c r="Q169" s="9"/>
      <c r="R169" s="9"/>
    </row>
    <row r="170" spans="1:18" ht="24" x14ac:dyDescent="0.25">
      <c r="A170" s="16" t="s">
        <v>316</v>
      </c>
      <c r="B170" s="16" t="s">
        <v>317</v>
      </c>
      <c r="C170" s="17" t="s">
        <v>27</v>
      </c>
      <c r="D170" s="8">
        <v>46297</v>
      </c>
      <c r="E170" s="7"/>
      <c r="F170" s="8">
        <v>46297</v>
      </c>
      <c r="G170" s="6">
        <v>4</v>
      </c>
      <c r="H170" s="5">
        <v>102500</v>
      </c>
      <c r="I170" s="4">
        <f>G170*H170</f>
        <v>410000</v>
      </c>
      <c r="J170" s="7"/>
      <c r="K170" s="7"/>
      <c r="L170" s="3">
        <v>0</v>
      </c>
      <c r="M170" s="5">
        <v>0</v>
      </c>
      <c r="N170" s="5">
        <v>0</v>
      </c>
      <c r="O170" s="5">
        <v>0</v>
      </c>
      <c r="P170" s="2">
        <f>I170+L170+M170+N170+O170</f>
        <v>410000</v>
      </c>
      <c r="Q170" s="1">
        <v>0</v>
      </c>
      <c r="R170" s="1">
        <f>P170-Q170</f>
        <v>410000</v>
      </c>
    </row>
    <row r="171" spans="1:18" ht="24" x14ac:dyDescent="0.25">
      <c r="A171" s="16" t="s">
        <v>318</v>
      </c>
      <c r="B171" s="16" t="s">
        <v>319</v>
      </c>
      <c r="C171" s="17" t="s">
        <v>27</v>
      </c>
      <c r="D171" s="8"/>
      <c r="E171" s="8"/>
      <c r="F171" s="8"/>
      <c r="G171" s="8"/>
      <c r="H171" s="8"/>
      <c r="I171" s="4"/>
      <c r="J171" s="7"/>
      <c r="K171" s="7"/>
      <c r="L171" s="3"/>
      <c r="M171" s="5"/>
      <c r="N171" s="5"/>
      <c r="O171" s="5"/>
      <c r="P171" s="5"/>
      <c r="Q171" s="1"/>
      <c r="R171" s="1"/>
    </row>
    <row r="172" spans="1:18" ht="24" x14ac:dyDescent="0.25">
      <c r="A172" s="16" t="s">
        <v>320</v>
      </c>
      <c r="B172" s="16" t="s">
        <v>321</v>
      </c>
      <c r="C172" s="17" t="s">
        <v>27</v>
      </c>
      <c r="D172" s="8"/>
      <c r="E172" s="8"/>
      <c r="F172" s="8"/>
      <c r="G172" s="8"/>
      <c r="H172" s="8"/>
      <c r="I172" s="4"/>
      <c r="J172" s="7"/>
      <c r="K172" s="7"/>
      <c r="L172" s="3"/>
      <c r="M172" s="5"/>
      <c r="N172" s="5"/>
      <c r="O172" s="5"/>
      <c r="P172" s="5"/>
      <c r="Q172" s="1"/>
      <c r="R172" s="1"/>
    </row>
    <row r="173" spans="1:18" ht="24" x14ac:dyDescent="0.25">
      <c r="A173" s="16" t="s">
        <v>322</v>
      </c>
      <c r="B173" s="16" t="s">
        <v>323</v>
      </c>
      <c r="C173" s="17" t="s">
        <v>27</v>
      </c>
      <c r="D173" s="8"/>
      <c r="E173" s="8"/>
      <c r="F173" s="8"/>
      <c r="G173" s="8"/>
      <c r="H173" s="8"/>
      <c r="I173" s="4"/>
      <c r="J173" s="7"/>
      <c r="K173" s="7"/>
      <c r="L173" s="3"/>
      <c r="M173" s="5"/>
      <c r="N173" s="5"/>
      <c r="O173" s="5"/>
      <c r="P173" s="5"/>
      <c r="Q173" s="1"/>
      <c r="R173" s="1"/>
    </row>
    <row r="174" spans="1:18" ht="15" customHeight="1" x14ac:dyDescent="0.25">
      <c r="A174" s="10" t="s">
        <v>324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9">
        <v>820000</v>
      </c>
      <c r="Q174" s="9"/>
      <c r="R174" s="9"/>
    </row>
    <row r="175" spans="1:18" ht="24" x14ac:dyDescent="0.25">
      <c r="A175" s="16" t="s">
        <v>325</v>
      </c>
      <c r="B175" s="16" t="s">
        <v>326</v>
      </c>
      <c r="C175" s="17" t="s">
        <v>27</v>
      </c>
      <c r="D175" s="8">
        <v>46300</v>
      </c>
      <c r="E175" s="7"/>
      <c r="F175" s="8">
        <v>46300</v>
      </c>
      <c r="G175" s="6">
        <v>8</v>
      </c>
      <c r="H175" s="5">
        <v>102500</v>
      </c>
      <c r="I175" s="4">
        <f>G175*H175</f>
        <v>820000</v>
      </c>
      <c r="J175" s="7"/>
      <c r="K175" s="7"/>
      <c r="L175" s="3">
        <v>0</v>
      </c>
      <c r="M175" s="5">
        <v>0</v>
      </c>
      <c r="N175" s="5">
        <v>0</v>
      </c>
      <c r="O175" s="5">
        <v>0</v>
      </c>
      <c r="P175" s="2">
        <f>I175+L175+M175+N175+O175</f>
        <v>820000</v>
      </c>
      <c r="Q175" s="1">
        <v>0</v>
      </c>
      <c r="R175" s="1">
        <f>P175-Q175</f>
        <v>820000</v>
      </c>
    </row>
    <row r="176" spans="1:18" ht="36" x14ac:dyDescent="0.25">
      <c r="A176" s="16" t="s">
        <v>327</v>
      </c>
      <c r="B176" s="16" t="s">
        <v>328</v>
      </c>
      <c r="C176" s="17" t="s">
        <v>27</v>
      </c>
      <c r="D176" s="8"/>
      <c r="E176" s="8"/>
      <c r="F176" s="8"/>
      <c r="G176" s="8"/>
      <c r="H176" s="8"/>
      <c r="I176" s="4"/>
      <c r="J176" s="7"/>
      <c r="K176" s="7"/>
      <c r="L176" s="3"/>
      <c r="M176" s="5"/>
      <c r="N176" s="5"/>
      <c r="O176" s="5"/>
      <c r="P176" s="5"/>
      <c r="Q176" s="1"/>
      <c r="R176" s="1"/>
    </row>
    <row r="177" spans="1:18" ht="24" x14ac:dyDescent="0.25">
      <c r="A177" s="16" t="s">
        <v>329</v>
      </c>
      <c r="B177" s="16" t="s">
        <v>330</v>
      </c>
      <c r="C177" s="17" t="s">
        <v>27</v>
      </c>
      <c r="D177" s="8"/>
      <c r="E177" s="8"/>
      <c r="F177" s="8"/>
      <c r="G177" s="8"/>
      <c r="H177" s="8"/>
      <c r="I177" s="4"/>
      <c r="J177" s="7"/>
      <c r="K177" s="7"/>
      <c r="L177" s="3"/>
      <c r="M177" s="5"/>
      <c r="N177" s="5"/>
      <c r="O177" s="5"/>
      <c r="P177" s="5"/>
      <c r="Q177" s="1"/>
      <c r="R177" s="1"/>
    </row>
    <row r="178" spans="1:18" ht="36" x14ac:dyDescent="0.25">
      <c r="A178" s="16" t="s">
        <v>331</v>
      </c>
      <c r="B178" s="16" t="s">
        <v>332</v>
      </c>
      <c r="C178" s="17" t="s">
        <v>27</v>
      </c>
      <c r="D178" s="8"/>
      <c r="E178" s="8"/>
      <c r="F178" s="8"/>
      <c r="G178" s="8"/>
      <c r="H178" s="8"/>
      <c r="I178" s="4"/>
      <c r="J178" s="7"/>
      <c r="K178" s="7"/>
      <c r="L178" s="3"/>
      <c r="M178" s="5"/>
      <c r="N178" s="5"/>
      <c r="O178" s="5"/>
      <c r="P178" s="5"/>
      <c r="Q178" s="1"/>
      <c r="R178" s="1"/>
    </row>
    <row r="179" spans="1:18" ht="15" customHeight="1" x14ac:dyDescent="0.25">
      <c r="A179" s="10" t="s">
        <v>333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9">
        <v>307500</v>
      </c>
      <c r="Q179" s="9"/>
      <c r="R179" s="9"/>
    </row>
    <row r="180" spans="1:18" ht="24" x14ac:dyDescent="0.25">
      <c r="A180" s="16" t="s">
        <v>334</v>
      </c>
      <c r="B180" s="16" t="s">
        <v>335</v>
      </c>
      <c r="C180" s="17" t="s">
        <v>27</v>
      </c>
      <c r="D180" s="8">
        <v>46301</v>
      </c>
      <c r="E180" s="7"/>
      <c r="F180" s="8">
        <v>46301</v>
      </c>
      <c r="G180" s="6">
        <v>3</v>
      </c>
      <c r="H180" s="5">
        <v>102500</v>
      </c>
      <c r="I180" s="4">
        <f>G180*H180</f>
        <v>307500</v>
      </c>
      <c r="J180" s="7"/>
      <c r="K180" s="7"/>
      <c r="L180" s="3">
        <v>0</v>
      </c>
      <c r="M180" s="5">
        <v>0</v>
      </c>
      <c r="N180" s="5">
        <v>0</v>
      </c>
      <c r="O180" s="5">
        <v>0</v>
      </c>
      <c r="P180" s="2">
        <f>I180+L180+M180+N180+O180</f>
        <v>307500</v>
      </c>
      <c r="Q180" s="1">
        <v>0</v>
      </c>
      <c r="R180" s="1">
        <f>P180-Q180</f>
        <v>307500</v>
      </c>
    </row>
    <row r="181" spans="1:18" ht="24" x14ac:dyDescent="0.25">
      <c r="A181" s="16" t="s">
        <v>336</v>
      </c>
      <c r="B181" s="16" t="s">
        <v>337</v>
      </c>
      <c r="C181" s="17" t="s">
        <v>27</v>
      </c>
      <c r="D181" s="8"/>
      <c r="E181" s="8"/>
      <c r="F181" s="8"/>
      <c r="G181" s="8"/>
      <c r="H181" s="8"/>
      <c r="I181" s="4"/>
      <c r="J181" s="7"/>
      <c r="K181" s="7"/>
      <c r="L181" s="3"/>
      <c r="M181" s="5"/>
      <c r="N181" s="5"/>
      <c r="O181" s="5"/>
      <c r="P181" s="5"/>
      <c r="Q181" s="1"/>
      <c r="R181" s="1"/>
    </row>
    <row r="182" spans="1:18" x14ac:dyDescent="0.25">
      <c r="A182" s="16" t="s">
        <v>338</v>
      </c>
      <c r="B182" s="16" t="s">
        <v>339</v>
      </c>
      <c r="C182" s="17" t="s">
        <v>27</v>
      </c>
      <c r="D182" s="8"/>
      <c r="E182" s="8"/>
      <c r="F182" s="8"/>
      <c r="G182" s="8"/>
      <c r="H182" s="8"/>
      <c r="I182" s="4"/>
      <c r="J182" s="7"/>
      <c r="K182" s="7"/>
      <c r="L182" s="3"/>
      <c r="M182" s="5"/>
      <c r="N182" s="5"/>
      <c r="O182" s="5"/>
      <c r="P182" s="5"/>
      <c r="Q182" s="1"/>
      <c r="R182" s="1"/>
    </row>
    <row r="183" spans="1:18" ht="36" x14ac:dyDescent="0.25">
      <c r="A183" s="16" t="s">
        <v>340</v>
      </c>
      <c r="B183" s="16" t="s">
        <v>341</v>
      </c>
      <c r="C183" s="17" t="s">
        <v>27</v>
      </c>
      <c r="D183" s="8"/>
      <c r="E183" s="8"/>
      <c r="F183" s="8"/>
      <c r="G183" s="8"/>
      <c r="H183" s="8"/>
      <c r="I183" s="4"/>
      <c r="J183" s="7"/>
      <c r="K183" s="7"/>
      <c r="L183" s="3"/>
      <c r="M183" s="5"/>
      <c r="N183" s="5"/>
      <c r="O183" s="5"/>
      <c r="P183" s="5"/>
      <c r="Q183" s="1"/>
      <c r="R183" s="1"/>
    </row>
    <row r="184" spans="1:18" ht="15" customHeight="1" x14ac:dyDescent="0.25">
      <c r="A184" s="10" t="s">
        <v>342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9">
        <v>102500</v>
      </c>
      <c r="Q184" s="9"/>
      <c r="R184" s="9"/>
    </row>
    <row r="185" spans="1:18" ht="24" x14ac:dyDescent="0.25">
      <c r="A185" s="16" t="s">
        <v>343</v>
      </c>
      <c r="B185" s="16" t="s">
        <v>344</v>
      </c>
      <c r="C185" s="17" t="s">
        <v>27</v>
      </c>
      <c r="D185" s="8">
        <v>46302</v>
      </c>
      <c r="E185" s="7"/>
      <c r="F185" s="8">
        <v>46302</v>
      </c>
      <c r="G185" s="6">
        <v>1</v>
      </c>
      <c r="H185" s="5">
        <v>102500</v>
      </c>
      <c r="I185" s="4">
        <f>G185*H185</f>
        <v>102500</v>
      </c>
      <c r="J185" s="7"/>
      <c r="K185" s="7"/>
      <c r="L185" s="3">
        <v>0</v>
      </c>
      <c r="M185" s="5">
        <v>0</v>
      </c>
      <c r="N185" s="5">
        <v>0</v>
      </c>
      <c r="O185" s="5">
        <v>0</v>
      </c>
      <c r="P185" s="2">
        <f>I185+L185+M185+N185+O185</f>
        <v>102500</v>
      </c>
      <c r="Q185" s="1">
        <v>0</v>
      </c>
      <c r="R185" s="1">
        <f>P185-Q185</f>
        <v>102500</v>
      </c>
    </row>
    <row r="186" spans="1:18" ht="24" x14ac:dyDescent="0.25">
      <c r="A186" s="16" t="s">
        <v>345</v>
      </c>
      <c r="B186" s="16" t="s">
        <v>346</v>
      </c>
      <c r="C186" s="17" t="s">
        <v>27</v>
      </c>
      <c r="D186" s="8"/>
      <c r="E186" s="8"/>
      <c r="F186" s="8"/>
      <c r="G186" s="8"/>
      <c r="H186" s="8"/>
      <c r="I186" s="4"/>
      <c r="J186" s="7"/>
      <c r="K186" s="7"/>
      <c r="L186" s="3"/>
      <c r="M186" s="5"/>
      <c r="N186" s="5"/>
      <c r="O186" s="5"/>
      <c r="P186" s="5"/>
      <c r="Q186" s="1"/>
      <c r="R186" s="1"/>
    </row>
    <row r="187" spans="1:18" ht="24" x14ac:dyDescent="0.25">
      <c r="A187" s="16" t="s">
        <v>347</v>
      </c>
      <c r="B187" s="16" t="s">
        <v>348</v>
      </c>
      <c r="C187" s="17" t="s">
        <v>27</v>
      </c>
      <c r="D187" s="8"/>
      <c r="E187" s="8"/>
      <c r="F187" s="8"/>
      <c r="G187" s="8"/>
      <c r="H187" s="8"/>
      <c r="I187" s="4"/>
      <c r="J187" s="7"/>
      <c r="K187" s="7"/>
      <c r="L187" s="3"/>
      <c r="M187" s="5"/>
      <c r="N187" s="5"/>
      <c r="O187" s="5"/>
      <c r="P187" s="5"/>
      <c r="Q187" s="1"/>
      <c r="R187" s="1"/>
    </row>
    <row r="188" spans="1:18" ht="24" x14ac:dyDescent="0.25">
      <c r="A188" s="16" t="s">
        <v>349</v>
      </c>
      <c r="B188" s="16" t="s">
        <v>350</v>
      </c>
      <c r="C188" s="17" t="s">
        <v>27</v>
      </c>
      <c r="D188" s="8"/>
      <c r="E188" s="8"/>
      <c r="F188" s="8"/>
      <c r="G188" s="8"/>
      <c r="H188" s="8"/>
      <c r="I188" s="4"/>
      <c r="J188" s="7"/>
      <c r="K188" s="7"/>
      <c r="L188" s="3"/>
      <c r="M188" s="5"/>
      <c r="N188" s="5"/>
      <c r="O188" s="5"/>
      <c r="P188" s="5"/>
      <c r="Q188" s="1"/>
      <c r="R188" s="1"/>
    </row>
    <row r="189" spans="1:18" ht="15" customHeight="1" x14ac:dyDescent="0.25">
      <c r="A189" s="11" t="s">
        <v>351</v>
      </c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ht="15" customHeight="1" x14ac:dyDescent="0.25">
      <c r="A190" s="10" t="s">
        <v>352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9">
        <v>6000000</v>
      </c>
      <c r="Q190" s="9"/>
      <c r="R190" s="9"/>
    </row>
    <row r="191" spans="1:18" x14ac:dyDescent="0.25">
      <c r="A191" s="16" t="s">
        <v>353</v>
      </c>
      <c r="B191" s="16" t="s">
        <v>354</v>
      </c>
      <c r="C191" s="17" t="s">
        <v>27</v>
      </c>
      <c r="D191" s="8">
        <v>46303</v>
      </c>
      <c r="E191" s="7"/>
      <c r="F191" s="8">
        <v>46304</v>
      </c>
      <c r="G191" s="6">
        <v>40</v>
      </c>
      <c r="H191" s="5">
        <v>150000</v>
      </c>
      <c r="I191" s="4">
        <f>G191*H191</f>
        <v>6000000</v>
      </c>
      <c r="J191" s="7"/>
      <c r="K191" s="7"/>
      <c r="L191" s="3">
        <v>0</v>
      </c>
      <c r="M191" s="5">
        <v>0</v>
      </c>
      <c r="N191" s="5">
        <v>0</v>
      </c>
      <c r="O191" s="5">
        <v>0</v>
      </c>
      <c r="P191" s="2">
        <f>I191+L191+M191+N191+O191</f>
        <v>6000000</v>
      </c>
      <c r="Q191" s="1">
        <v>0</v>
      </c>
      <c r="R191" s="1">
        <f>P191-Q191</f>
        <v>6000000</v>
      </c>
    </row>
    <row r="192" spans="1:18" ht="24" x14ac:dyDescent="0.25">
      <c r="A192" s="16" t="s">
        <v>355</v>
      </c>
      <c r="B192" s="16" t="s">
        <v>356</v>
      </c>
      <c r="C192" s="17" t="s">
        <v>27</v>
      </c>
      <c r="D192" s="8"/>
      <c r="E192" s="8"/>
      <c r="F192" s="8"/>
      <c r="G192" s="8"/>
      <c r="H192" s="8"/>
      <c r="I192" s="4"/>
      <c r="J192" s="7"/>
      <c r="K192" s="7"/>
      <c r="L192" s="3"/>
      <c r="M192" s="5"/>
      <c r="N192" s="5"/>
      <c r="O192" s="5"/>
      <c r="P192" s="5"/>
      <c r="Q192" s="1"/>
      <c r="R192" s="1"/>
    </row>
    <row r="193" spans="1:18" ht="24" x14ac:dyDescent="0.25">
      <c r="A193" s="16" t="s">
        <v>357</v>
      </c>
      <c r="B193" s="16" t="s">
        <v>358</v>
      </c>
      <c r="C193" s="17" t="s">
        <v>27</v>
      </c>
      <c r="D193" s="8"/>
      <c r="E193" s="8"/>
      <c r="F193" s="8"/>
      <c r="G193" s="8"/>
      <c r="H193" s="8"/>
      <c r="I193" s="4"/>
      <c r="J193" s="7"/>
      <c r="K193" s="7"/>
      <c r="L193" s="3"/>
      <c r="M193" s="5"/>
      <c r="N193" s="5"/>
      <c r="O193" s="5"/>
      <c r="P193" s="5"/>
      <c r="Q193" s="1"/>
      <c r="R193" s="1"/>
    </row>
    <row r="194" spans="1:18" ht="15" customHeight="1" x14ac:dyDescent="0.25">
      <c r="A194" s="10" t="s">
        <v>359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9">
        <v>1200000</v>
      </c>
      <c r="Q194" s="9"/>
      <c r="R194" s="9"/>
    </row>
    <row r="195" spans="1:18" ht="24" x14ac:dyDescent="0.25">
      <c r="A195" s="16" t="s">
        <v>360</v>
      </c>
      <c r="B195" s="16" t="s">
        <v>361</v>
      </c>
      <c r="C195" s="17" t="s">
        <v>27</v>
      </c>
      <c r="D195" s="8">
        <v>46307</v>
      </c>
      <c r="E195" s="7"/>
      <c r="F195" s="8">
        <v>46307</v>
      </c>
      <c r="G195" s="6">
        <v>8</v>
      </c>
      <c r="H195" s="5">
        <v>150000</v>
      </c>
      <c r="I195" s="4">
        <f>G195*H195</f>
        <v>1200000</v>
      </c>
      <c r="J195" s="7"/>
      <c r="K195" s="7"/>
      <c r="L195" s="3">
        <v>0</v>
      </c>
      <c r="M195" s="5">
        <v>0</v>
      </c>
      <c r="N195" s="5">
        <v>0</v>
      </c>
      <c r="O195" s="5">
        <v>0</v>
      </c>
      <c r="P195" s="2">
        <f>I195+L195+M195+N195+O195</f>
        <v>1200000</v>
      </c>
      <c r="Q195" s="1">
        <v>0</v>
      </c>
      <c r="R195" s="1">
        <f>P195-Q195</f>
        <v>1200000</v>
      </c>
    </row>
    <row r="196" spans="1:18" ht="24" x14ac:dyDescent="0.25">
      <c r="A196" s="16" t="s">
        <v>362</v>
      </c>
      <c r="B196" s="16" t="s">
        <v>363</v>
      </c>
      <c r="C196" s="17" t="s">
        <v>27</v>
      </c>
      <c r="D196" s="8"/>
      <c r="E196" s="8"/>
      <c r="F196" s="8"/>
      <c r="G196" s="8"/>
      <c r="H196" s="8"/>
      <c r="I196" s="4"/>
      <c r="J196" s="7"/>
      <c r="K196" s="7"/>
      <c r="L196" s="3"/>
      <c r="M196" s="5"/>
      <c r="N196" s="5"/>
      <c r="O196" s="5"/>
      <c r="P196" s="5"/>
      <c r="Q196" s="1"/>
      <c r="R196" s="1"/>
    </row>
    <row r="197" spans="1:18" ht="24" x14ac:dyDescent="0.25">
      <c r="A197" s="16" t="s">
        <v>364</v>
      </c>
      <c r="B197" s="16" t="s">
        <v>365</v>
      </c>
      <c r="C197" s="17" t="s">
        <v>27</v>
      </c>
      <c r="D197" s="8"/>
      <c r="E197" s="8"/>
      <c r="F197" s="8"/>
      <c r="G197" s="8"/>
      <c r="H197" s="8"/>
      <c r="I197" s="4"/>
      <c r="J197" s="7"/>
      <c r="K197" s="7"/>
      <c r="L197" s="3"/>
      <c r="M197" s="5"/>
      <c r="N197" s="5"/>
      <c r="O197" s="5"/>
      <c r="P197" s="5"/>
      <c r="Q197" s="1"/>
      <c r="R197" s="1"/>
    </row>
    <row r="198" spans="1:18" ht="15" customHeight="1" x14ac:dyDescent="0.25">
      <c r="A198" s="10" t="s">
        <v>366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9">
        <v>2400000</v>
      </c>
      <c r="Q198" s="9"/>
      <c r="R198" s="9"/>
    </row>
    <row r="199" spans="1:18" ht="24" x14ac:dyDescent="0.25">
      <c r="A199" s="16" t="s">
        <v>367</v>
      </c>
      <c r="B199" s="16" t="s">
        <v>368</v>
      </c>
      <c r="C199" s="17" t="s">
        <v>27</v>
      </c>
      <c r="D199" s="8">
        <v>46308</v>
      </c>
      <c r="E199" s="7"/>
      <c r="F199" s="8">
        <v>46308</v>
      </c>
      <c r="G199" s="6">
        <v>16</v>
      </c>
      <c r="H199" s="5">
        <v>150000</v>
      </c>
      <c r="I199" s="4">
        <f>G199*H199</f>
        <v>2400000</v>
      </c>
      <c r="J199" s="7"/>
      <c r="K199" s="7"/>
      <c r="L199" s="3">
        <v>0</v>
      </c>
      <c r="M199" s="5">
        <v>0</v>
      </c>
      <c r="N199" s="5">
        <v>0</v>
      </c>
      <c r="O199" s="5">
        <v>0</v>
      </c>
      <c r="P199" s="2">
        <f>I199+L199+M199+N199+O199</f>
        <v>2400000</v>
      </c>
      <c r="Q199" s="1">
        <v>0</v>
      </c>
      <c r="R199" s="1">
        <f>P199-Q199</f>
        <v>2400000</v>
      </c>
    </row>
    <row r="200" spans="1:18" ht="24" x14ac:dyDescent="0.25">
      <c r="A200" s="16" t="s">
        <v>369</v>
      </c>
      <c r="B200" s="16" t="s">
        <v>370</v>
      </c>
      <c r="C200" s="17" t="s">
        <v>27</v>
      </c>
      <c r="D200" s="8"/>
      <c r="E200" s="8"/>
      <c r="F200" s="8"/>
      <c r="G200" s="8"/>
      <c r="H200" s="8"/>
      <c r="I200" s="4"/>
      <c r="J200" s="7"/>
      <c r="K200" s="7"/>
      <c r="L200" s="3"/>
      <c r="M200" s="5"/>
      <c r="N200" s="5"/>
      <c r="O200" s="5"/>
      <c r="P200" s="5"/>
      <c r="Q200" s="1"/>
      <c r="R200" s="1"/>
    </row>
    <row r="201" spans="1:18" ht="36" x14ac:dyDescent="0.25">
      <c r="A201" s="16" t="s">
        <v>371</v>
      </c>
      <c r="B201" s="16" t="s">
        <v>372</v>
      </c>
      <c r="C201" s="17" t="s">
        <v>27</v>
      </c>
      <c r="D201" s="8"/>
      <c r="E201" s="8"/>
      <c r="F201" s="8"/>
      <c r="G201" s="8"/>
      <c r="H201" s="8"/>
      <c r="I201" s="4"/>
      <c r="J201" s="7"/>
      <c r="K201" s="7"/>
      <c r="L201" s="3"/>
      <c r="M201" s="5"/>
      <c r="N201" s="5"/>
      <c r="O201" s="5"/>
      <c r="P201" s="5"/>
      <c r="Q201" s="1"/>
      <c r="R201" s="1"/>
    </row>
    <row r="202" spans="1:18" ht="15" customHeight="1" x14ac:dyDescent="0.25">
      <c r="A202" s="10" t="s">
        <v>373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9">
        <v>6000000</v>
      </c>
      <c r="Q202" s="9"/>
      <c r="R202" s="9"/>
    </row>
    <row r="203" spans="1:18" ht="24" x14ac:dyDescent="0.25">
      <c r="A203" s="16" t="s">
        <v>374</v>
      </c>
      <c r="B203" s="16" t="s">
        <v>375</v>
      </c>
      <c r="C203" s="17" t="s">
        <v>27</v>
      </c>
      <c r="D203" s="8">
        <v>46309</v>
      </c>
      <c r="E203" s="7"/>
      <c r="F203" s="8">
        <v>46310</v>
      </c>
      <c r="G203" s="6">
        <v>40</v>
      </c>
      <c r="H203" s="5">
        <v>150000</v>
      </c>
      <c r="I203" s="4">
        <f>G203*H203</f>
        <v>6000000</v>
      </c>
      <c r="J203" s="7"/>
      <c r="K203" s="7"/>
      <c r="L203" s="3">
        <v>0</v>
      </c>
      <c r="M203" s="5">
        <v>0</v>
      </c>
      <c r="N203" s="5">
        <v>0</v>
      </c>
      <c r="O203" s="5">
        <v>0</v>
      </c>
      <c r="P203" s="2">
        <f>I203+L203+M203+N203+O203</f>
        <v>6000000</v>
      </c>
      <c r="Q203" s="1">
        <v>0</v>
      </c>
      <c r="R203" s="1">
        <f>P203-Q203</f>
        <v>6000000</v>
      </c>
    </row>
    <row r="204" spans="1:18" ht="24" x14ac:dyDescent="0.25">
      <c r="A204" s="16" t="s">
        <v>376</v>
      </c>
      <c r="B204" s="16" t="s">
        <v>377</v>
      </c>
      <c r="C204" s="17" t="s">
        <v>27</v>
      </c>
      <c r="D204" s="8"/>
      <c r="E204" s="8"/>
      <c r="F204" s="8"/>
      <c r="G204" s="8"/>
      <c r="H204" s="8"/>
      <c r="I204" s="4"/>
      <c r="J204" s="7"/>
      <c r="K204" s="7"/>
      <c r="L204" s="3"/>
      <c r="M204" s="5"/>
      <c r="N204" s="5"/>
      <c r="O204" s="5"/>
      <c r="P204" s="5"/>
      <c r="Q204" s="1"/>
      <c r="R204" s="1"/>
    </row>
    <row r="205" spans="1:18" ht="24" x14ac:dyDescent="0.25">
      <c r="A205" s="16" t="s">
        <v>378</v>
      </c>
      <c r="B205" s="16" t="s">
        <v>379</v>
      </c>
      <c r="C205" s="17" t="s">
        <v>27</v>
      </c>
      <c r="D205" s="8"/>
      <c r="E205" s="8"/>
      <c r="F205" s="8"/>
      <c r="G205" s="8"/>
      <c r="H205" s="8"/>
      <c r="I205" s="4"/>
      <c r="J205" s="7"/>
      <c r="K205" s="7"/>
      <c r="L205" s="3"/>
      <c r="M205" s="5"/>
      <c r="N205" s="5"/>
      <c r="O205" s="5"/>
      <c r="P205" s="5"/>
      <c r="Q205" s="1"/>
      <c r="R205" s="1"/>
    </row>
    <row r="206" spans="1:18" ht="15" customHeight="1" x14ac:dyDescent="0.25">
      <c r="A206" s="10" t="s">
        <v>380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9">
        <v>6000000</v>
      </c>
      <c r="Q206" s="9"/>
      <c r="R206" s="9"/>
    </row>
    <row r="207" spans="1:18" ht="24" x14ac:dyDescent="0.25">
      <c r="A207" s="16" t="s">
        <v>381</v>
      </c>
      <c r="B207" s="16" t="s">
        <v>382</v>
      </c>
      <c r="C207" s="17" t="s">
        <v>27</v>
      </c>
      <c r="D207" s="8">
        <v>46311</v>
      </c>
      <c r="E207" s="7"/>
      <c r="F207" s="8">
        <v>46314</v>
      </c>
      <c r="G207" s="6">
        <v>40</v>
      </c>
      <c r="H207" s="5">
        <v>150000</v>
      </c>
      <c r="I207" s="4">
        <f>G207*H207</f>
        <v>6000000</v>
      </c>
      <c r="J207" s="7"/>
      <c r="K207" s="7"/>
      <c r="L207" s="3">
        <v>0</v>
      </c>
      <c r="M207" s="5">
        <v>0</v>
      </c>
      <c r="N207" s="5">
        <v>0</v>
      </c>
      <c r="O207" s="5">
        <v>0</v>
      </c>
      <c r="P207" s="2">
        <f>I207+L207+M207+N207+O207</f>
        <v>6000000</v>
      </c>
      <c r="Q207" s="1">
        <v>0</v>
      </c>
      <c r="R207" s="1">
        <f>P207-Q207</f>
        <v>6000000</v>
      </c>
    </row>
    <row r="208" spans="1:18" ht="24" x14ac:dyDescent="0.25">
      <c r="A208" s="16" t="s">
        <v>383</v>
      </c>
      <c r="B208" s="16" t="s">
        <v>384</v>
      </c>
      <c r="C208" s="17" t="s">
        <v>27</v>
      </c>
      <c r="D208" s="8"/>
      <c r="E208" s="8"/>
      <c r="F208" s="8"/>
      <c r="G208" s="8"/>
      <c r="H208" s="8"/>
      <c r="I208" s="4"/>
      <c r="J208" s="7"/>
      <c r="K208" s="7"/>
      <c r="L208" s="3"/>
      <c r="M208" s="5"/>
      <c r="N208" s="5"/>
      <c r="O208" s="5"/>
      <c r="P208" s="5"/>
      <c r="Q208" s="1"/>
      <c r="R208" s="1"/>
    </row>
    <row r="209" spans="1:18" ht="24" x14ac:dyDescent="0.25">
      <c r="A209" s="16" t="s">
        <v>385</v>
      </c>
      <c r="B209" s="16" t="s">
        <v>386</v>
      </c>
      <c r="C209" s="17" t="s">
        <v>27</v>
      </c>
      <c r="D209" s="8"/>
      <c r="E209" s="8"/>
      <c r="F209" s="8"/>
      <c r="G209" s="8"/>
      <c r="H209" s="8"/>
      <c r="I209" s="4"/>
      <c r="J209" s="7"/>
      <c r="K209" s="7"/>
      <c r="L209" s="3"/>
      <c r="M209" s="5"/>
      <c r="N209" s="5"/>
      <c r="O209" s="5"/>
      <c r="P209" s="5"/>
      <c r="Q209" s="1"/>
      <c r="R209" s="1"/>
    </row>
    <row r="210" spans="1:18" ht="15" customHeight="1" x14ac:dyDescent="0.25">
      <c r="A210" s="10" t="s">
        <v>387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9">
        <v>3600000</v>
      </c>
      <c r="Q210" s="9"/>
      <c r="R210" s="9"/>
    </row>
    <row r="211" spans="1:18" ht="24" x14ac:dyDescent="0.25">
      <c r="A211" s="16" t="s">
        <v>388</v>
      </c>
      <c r="B211" s="16" t="s">
        <v>389</v>
      </c>
      <c r="C211" s="17" t="s">
        <v>27</v>
      </c>
      <c r="D211" s="8">
        <v>46315</v>
      </c>
      <c r="E211" s="7"/>
      <c r="F211" s="8">
        <v>46316</v>
      </c>
      <c r="G211" s="6">
        <v>24</v>
      </c>
      <c r="H211" s="5">
        <v>150000</v>
      </c>
      <c r="I211" s="4">
        <f>G211*H211</f>
        <v>3600000</v>
      </c>
      <c r="J211" s="7"/>
      <c r="K211" s="7"/>
      <c r="L211" s="3">
        <v>0</v>
      </c>
      <c r="M211" s="5">
        <v>0</v>
      </c>
      <c r="N211" s="5">
        <v>0</v>
      </c>
      <c r="O211" s="5">
        <v>0</v>
      </c>
      <c r="P211" s="2">
        <f>I211+L211+M211+N211+O211</f>
        <v>3600000</v>
      </c>
      <c r="Q211" s="1">
        <v>0</v>
      </c>
      <c r="R211" s="1">
        <f>P211-Q211</f>
        <v>3600000</v>
      </c>
    </row>
    <row r="212" spans="1:18" ht="24" x14ac:dyDescent="0.25">
      <c r="A212" s="16" t="s">
        <v>390</v>
      </c>
      <c r="B212" s="16" t="s">
        <v>391</v>
      </c>
      <c r="C212" s="17" t="s">
        <v>27</v>
      </c>
      <c r="D212" s="8"/>
      <c r="E212" s="8"/>
      <c r="F212" s="8"/>
      <c r="G212" s="8"/>
      <c r="H212" s="8"/>
      <c r="I212" s="4"/>
      <c r="J212" s="7"/>
      <c r="K212" s="7"/>
      <c r="L212" s="3"/>
      <c r="M212" s="5"/>
      <c r="N212" s="5"/>
      <c r="O212" s="5"/>
      <c r="P212" s="5"/>
      <c r="Q212" s="1"/>
      <c r="R212" s="1"/>
    </row>
    <row r="213" spans="1:18" ht="24" x14ac:dyDescent="0.25">
      <c r="A213" s="16" t="s">
        <v>392</v>
      </c>
      <c r="B213" s="16" t="s">
        <v>393</v>
      </c>
      <c r="C213" s="17" t="s">
        <v>27</v>
      </c>
      <c r="D213" s="8"/>
      <c r="E213" s="8"/>
      <c r="F213" s="8"/>
      <c r="G213" s="8"/>
      <c r="H213" s="8"/>
      <c r="I213" s="4"/>
      <c r="J213" s="7"/>
      <c r="K213" s="7"/>
      <c r="L213" s="3"/>
      <c r="M213" s="5"/>
      <c r="N213" s="5"/>
      <c r="O213" s="5"/>
      <c r="P213" s="5"/>
      <c r="Q213" s="1"/>
      <c r="R213" s="1"/>
    </row>
    <row r="214" spans="1:18" ht="15" customHeight="1" x14ac:dyDescent="0.25">
      <c r="A214" s="10" t="s">
        <v>394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9">
        <v>3600000</v>
      </c>
      <c r="Q214" s="9"/>
      <c r="R214" s="9"/>
    </row>
    <row r="215" spans="1:18" ht="24" x14ac:dyDescent="0.25">
      <c r="A215" s="16" t="s">
        <v>395</v>
      </c>
      <c r="B215" s="16" t="s">
        <v>396</v>
      </c>
      <c r="C215" s="17" t="s">
        <v>27</v>
      </c>
      <c r="D215" s="8">
        <v>46317</v>
      </c>
      <c r="E215" s="7"/>
      <c r="F215" s="8">
        <v>46318</v>
      </c>
      <c r="G215" s="6">
        <v>24</v>
      </c>
      <c r="H215" s="5">
        <v>150000</v>
      </c>
      <c r="I215" s="4">
        <f>G215*H215</f>
        <v>3600000</v>
      </c>
      <c r="J215" s="7"/>
      <c r="K215" s="7"/>
      <c r="L215" s="3">
        <v>0</v>
      </c>
      <c r="M215" s="5">
        <v>0</v>
      </c>
      <c r="N215" s="5">
        <v>0</v>
      </c>
      <c r="O215" s="5">
        <v>0</v>
      </c>
      <c r="P215" s="2">
        <f>I215+L215+M215+N215+O215</f>
        <v>3600000</v>
      </c>
      <c r="Q215" s="1">
        <v>0</v>
      </c>
      <c r="R215" s="1">
        <f>P215-Q215</f>
        <v>3600000</v>
      </c>
    </row>
    <row r="216" spans="1:18" ht="24" x14ac:dyDescent="0.25">
      <c r="A216" s="16" t="s">
        <v>397</v>
      </c>
      <c r="B216" s="16" t="s">
        <v>398</v>
      </c>
      <c r="C216" s="17" t="s">
        <v>27</v>
      </c>
      <c r="D216" s="8"/>
      <c r="E216" s="8"/>
      <c r="F216" s="8"/>
      <c r="G216" s="8"/>
      <c r="H216" s="8"/>
      <c r="I216" s="4"/>
      <c r="J216" s="7"/>
      <c r="K216" s="7"/>
      <c r="L216" s="3"/>
      <c r="M216" s="5"/>
      <c r="N216" s="5"/>
      <c r="O216" s="5"/>
      <c r="P216" s="5"/>
      <c r="Q216" s="1"/>
      <c r="R216" s="1"/>
    </row>
    <row r="217" spans="1:18" ht="24" x14ac:dyDescent="0.25">
      <c r="A217" s="16" t="s">
        <v>399</v>
      </c>
      <c r="B217" s="16" t="s">
        <v>400</v>
      </c>
      <c r="C217" s="17" t="s">
        <v>27</v>
      </c>
      <c r="D217" s="8"/>
      <c r="E217" s="8"/>
      <c r="F217" s="8"/>
      <c r="G217" s="8"/>
      <c r="H217" s="8"/>
      <c r="I217" s="4"/>
      <c r="J217" s="7"/>
      <c r="K217" s="7"/>
      <c r="L217" s="3"/>
      <c r="M217" s="5"/>
      <c r="N217" s="5"/>
      <c r="O217" s="5"/>
      <c r="P217" s="5"/>
      <c r="Q217" s="1"/>
      <c r="R217" s="1"/>
    </row>
    <row r="218" spans="1:18" ht="15" customHeight="1" x14ac:dyDescent="0.25">
      <c r="A218" s="10" t="s">
        <v>401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9">
        <v>3600000</v>
      </c>
      <c r="Q218" s="9"/>
      <c r="R218" s="9"/>
    </row>
    <row r="219" spans="1:18" ht="24" x14ac:dyDescent="0.25">
      <c r="A219" s="16" t="s">
        <v>402</v>
      </c>
      <c r="B219" s="16" t="s">
        <v>403</v>
      </c>
      <c r="C219" s="17" t="s">
        <v>27</v>
      </c>
      <c r="D219" s="8">
        <v>46321</v>
      </c>
      <c r="E219" s="7"/>
      <c r="F219" s="8">
        <v>46322</v>
      </c>
      <c r="G219" s="6">
        <v>24</v>
      </c>
      <c r="H219" s="5">
        <v>150000</v>
      </c>
      <c r="I219" s="4">
        <f>G219*H219</f>
        <v>3600000</v>
      </c>
      <c r="J219" s="7"/>
      <c r="K219" s="7"/>
      <c r="L219" s="3">
        <v>0</v>
      </c>
      <c r="M219" s="5">
        <v>0</v>
      </c>
      <c r="N219" s="5">
        <v>0</v>
      </c>
      <c r="O219" s="5">
        <v>0</v>
      </c>
      <c r="P219" s="2">
        <f>I219+L219+M219+N219+O219</f>
        <v>3600000</v>
      </c>
      <c r="Q219" s="1">
        <v>0</v>
      </c>
      <c r="R219" s="1">
        <f>P219-Q219</f>
        <v>3600000</v>
      </c>
    </row>
    <row r="220" spans="1:18" ht="36" x14ac:dyDescent="0.25">
      <c r="A220" s="16" t="s">
        <v>404</v>
      </c>
      <c r="B220" s="16" t="s">
        <v>405</v>
      </c>
      <c r="C220" s="17" t="s">
        <v>27</v>
      </c>
      <c r="D220" s="8"/>
      <c r="E220" s="8"/>
      <c r="F220" s="8"/>
      <c r="G220" s="8"/>
      <c r="H220" s="8"/>
      <c r="I220" s="4"/>
      <c r="J220" s="7"/>
      <c r="K220" s="7"/>
      <c r="L220" s="3"/>
      <c r="M220" s="5"/>
      <c r="N220" s="5"/>
      <c r="O220" s="5"/>
      <c r="P220" s="5"/>
      <c r="Q220" s="1"/>
      <c r="R220" s="1"/>
    </row>
    <row r="221" spans="1:18" ht="15" customHeight="1" x14ac:dyDescent="0.25">
      <c r="A221" s="10" t="s">
        <v>406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9">
        <v>6000000</v>
      </c>
      <c r="Q221" s="9"/>
      <c r="R221" s="9"/>
    </row>
    <row r="222" spans="1:18" ht="24" x14ac:dyDescent="0.25">
      <c r="A222" s="16" t="s">
        <v>407</v>
      </c>
      <c r="B222" s="16" t="s">
        <v>408</v>
      </c>
      <c r="C222" s="17" t="s">
        <v>27</v>
      </c>
      <c r="D222" s="8">
        <v>46323</v>
      </c>
      <c r="E222" s="7"/>
      <c r="F222" s="8">
        <v>46324</v>
      </c>
      <c r="G222" s="6">
        <v>40</v>
      </c>
      <c r="H222" s="5">
        <v>150000</v>
      </c>
      <c r="I222" s="4">
        <f>G222*H222</f>
        <v>6000000</v>
      </c>
      <c r="J222" s="7"/>
      <c r="K222" s="7"/>
      <c r="L222" s="3">
        <v>0</v>
      </c>
      <c r="M222" s="5">
        <v>0</v>
      </c>
      <c r="N222" s="5">
        <v>0</v>
      </c>
      <c r="O222" s="5">
        <v>0</v>
      </c>
      <c r="P222" s="2">
        <f>I222+L222+M222+N222+O222</f>
        <v>6000000</v>
      </c>
      <c r="Q222" s="1">
        <v>0</v>
      </c>
      <c r="R222" s="1">
        <f>P222-Q222</f>
        <v>6000000</v>
      </c>
    </row>
    <row r="223" spans="1:18" ht="36" x14ac:dyDescent="0.25">
      <c r="A223" s="16" t="s">
        <v>409</v>
      </c>
      <c r="B223" s="16" t="s">
        <v>410</v>
      </c>
      <c r="C223" s="17" t="s">
        <v>27</v>
      </c>
      <c r="D223" s="8"/>
      <c r="E223" s="8"/>
      <c r="F223" s="8"/>
      <c r="G223" s="8"/>
      <c r="H223" s="8"/>
      <c r="I223" s="4"/>
      <c r="J223" s="7"/>
      <c r="K223" s="7"/>
      <c r="L223" s="3"/>
      <c r="M223" s="5"/>
      <c r="N223" s="5"/>
      <c r="O223" s="5"/>
      <c r="P223" s="5"/>
      <c r="Q223" s="1"/>
      <c r="R223" s="1"/>
    </row>
    <row r="224" spans="1:18" ht="15" customHeight="1" x14ac:dyDescent="0.25">
      <c r="A224" s="10" t="s">
        <v>411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9">
        <v>3600000</v>
      </c>
      <c r="Q224" s="9"/>
      <c r="R224" s="9"/>
    </row>
    <row r="225" spans="1:18" ht="24" x14ac:dyDescent="0.25">
      <c r="A225" s="16" t="s">
        <v>412</v>
      </c>
      <c r="B225" s="16" t="s">
        <v>413</v>
      </c>
      <c r="C225" s="17" t="s">
        <v>27</v>
      </c>
      <c r="D225" s="8">
        <v>46325</v>
      </c>
      <c r="E225" s="7"/>
      <c r="F225" s="8">
        <v>46328</v>
      </c>
      <c r="G225" s="6">
        <v>24</v>
      </c>
      <c r="H225" s="5">
        <v>150000</v>
      </c>
      <c r="I225" s="4">
        <f>G225*H225</f>
        <v>3600000</v>
      </c>
      <c r="J225" s="7"/>
      <c r="K225" s="7"/>
      <c r="L225" s="3">
        <v>0</v>
      </c>
      <c r="M225" s="5">
        <v>0</v>
      </c>
      <c r="N225" s="5">
        <v>0</v>
      </c>
      <c r="O225" s="5">
        <v>0</v>
      </c>
      <c r="P225" s="2">
        <f>I225+L225+M225+N225+O225</f>
        <v>3600000</v>
      </c>
      <c r="Q225" s="1">
        <v>0</v>
      </c>
      <c r="R225" s="1">
        <f>P225-Q225</f>
        <v>3600000</v>
      </c>
    </row>
    <row r="226" spans="1:18" ht="24" x14ac:dyDescent="0.25">
      <c r="A226" s="16" t="s">
        <v>414</v>
      </c>
      <c r="B226" s="16" t="s">
        <v>415</v>
      </c>
      <c r="C226" s="17" t="s">
        <v>27</v>
      </c>
      <c r="D226" s="8"/>
      <c r="E226" s="8"/>
      <c r="F226" s="8"/>
      <c r="G226" s="8"/>
      <c r="H226" s="8"/>
      <c r="I226" s="4"/>
      <c r="J226" s="7"/>
      <c r="K226" s="7"/>
      <c r="L226" s="3"/>
      <c r="M226" s="5"/>
      <c r="N226" s="5"/>
      <c r="O226" s="5"/>
      <c r="P226" s="5"/>
      <c r="Q226" s="1"/>
      <c r="R226" s="1"/>
    </row>
    <row r="227" spans="1:18" ht="15" customHeight="1" x14ac:dyDescent="0.25">
      <c r="A227" s="10" t="s">
        <v>416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9">
        <v>6000000</v>
      </c>
      <c r="Q227" s="9"/>
      <c r="R227" s="9"/>
    </row>
    <row r="228" spans="1:18" ht="24" x14ac:dyDescent="0.25">
      <c r="A228" s="16" t="s">
        <v>417</v>
      </c>
      <c r="B228" s="16" t="s">
        <v>418</v>
      </c>
      <c r="C228" s="17" t="s">
        <v>27</v>
      </c>
      <c r="D228" s="8">
        <v>46329</v>
      </c>
      <c r="E228" s="7"/>
      <c r="F228" s="8">
        <v>46330</v>
      </c>
      <c r="G228" s="6">
        <v>40</v>
      </c>
      <c r="H228" s="5">
        <v>150000</v>
      </c>
      <c r="I228" s="4">
        <f>G228*H228</f>
        <v>6000000</v>
      </c>
      <c r="J228" s="7"/>
      <c r="K228" s="7"/>
      <c r="L228" s="3">
        <v>0</v>
      </c>
      <c r="M228" s="5">
        <v>0</v>
      </c>
      <c r="N228" s="5">
        <v>0</v>
      </c>
      <c r="O228" s="5">
        <v>0</v>
      </c>
      <c r="P228" s="2">
        <f>I228+L228+M228+N228+O228</f>
        <v>6000000</v>
      </c>
      <c r="Q228" s="1">
        <v>0</v>
      </c>
      <c r="R228" s="1">
        <f>P228-Q228</f>
        <v>6000000</v>
      </c>
    </row>
    <row r="229" spans="1:18" ht="24" x14ac:dyDescent="0.25">
      <c r="A229" s="16" t="s">
        <v>419</v>
      </c>
      <c r="B229" s="16" t="s">
        <v>420</v>
      </c>
      <c r="C229" s="17" t="s">
        <v>27</v>
      </c>
      <c r="D229" s="8"/>
      <c r="E229" s="8"/>
      <c r="F229" s="8"/>
      <c r="G229" s="8"/>
      <c r="H229" s="8"/>
      <c r="I229" s="4"/>
      <c r="J229" s="7"/>
      <c r="K229" s="7"/>
      <c r="L229" s="3"/>
      <c r="M229" s="5"/>
      <c r="N229" s="5"/>
      <c r="O229" s="5"/>
      <c r="P229" s="5"/>
      <c r="Q229" s="1"/>
      <c r="R229" s="1"/>
    </row>
    <row r="230" spans="1:18" x14ac:dyDescent="0.25">
      <c r="A230" s="16" t="s">
        <v>421</v>
      </c>
      <c r="B230" s="16" t="s">
        <v>422</v>
      </c>
      <c r="C230" s="17" t="s">
        <v>27</v>
      </c>
      <c r="D230" s="8"/>
      <c r="E230" s="8"/>
      <c r="F230" s="8"/>
      <c r="G230" s="8"/>
      <c r="H230" s="8"/>
      <c r="I230" s="4"/>
      <c r="J230" s="7"/>
      <c r="K230" s="7"/>
      <c r="L230" s="3"/>
      <c r="M230" s="5"/>
      <c r="N230" s="5"/>
      <c r="O230" s="5"/>
      <c r="P230" s="5"/>
      <c r="Q230" s="1"/>
      <c r="R230" s="1"/>
    </row>
    <row r="231" spans="1:18" ht="15" customHeight="1" x14ac:dyDescent="0.25">
      <c r="A231" s="11" t="s">
        <v>423</v>
      </c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ht="15" customHeight="1" x14ac:dyDescent="0.25">
      <c r="A232" s="10" t="s">
        <v>424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9">
        <v>250000</v>
      </c>
      <c r="Q232" s="9"/>
      <c r="R232" s="9"/>
    </row>
    <row r="233" spans="1:18" ht="24" x14ac:dyDescent="0.25">
      <c r="A233" s="16" t="s">
        <v>425</v>
      </c>
      <c r="B233" s="16" t="s">
        <v>426</v>
      </c>
      <c r="C233" s="17" t="s">
        <v>27</v>
      </c>
      <c r="D233" s="8">
        <v>46331</v>
      </c>
      <c r="E233" s="7"/>
      <c r="F233" s="8">
        <v>46331</v>
      </c>
      <c r="G233" s="6">
        <v>2</v>
      </c>
      <c r="H233" s="5">
        <v>125000</v>
      </c>
      <c r="I233" s="4">
        <f>G233*H233</f>
        <v>250000</v>
      </c>
      <c r="J233" s="7"/>
      <c r="K233" s="7"/>
      <c r="L233" s="3">
        <v>0</v>
      </c>
      <c r="M233" s="5">
        <v>0</v>
      </c>
      <c r="N233" s="5">
        <v>0</v>
      </c>
      <c r="O233" s="5">
        <v>0</v>
      </c>
      <c r="P233" s="2">
        <f>I233+L233+M233+N233+O233</f>
        <v>250000</v>
      </c>
      <c r="Q233" s="1">
        <v>0</v>
      </c>
      <c r="R233" s="1">
        <f>P233-Q233</f>
        <v>250000</v>
      </c>
    </row>
    <row r="234" spans="1:18" ht="24" x14ac:dyDescent="0.25">
      <c r="A234" s="16" t="s">
        <v>427</v>
      </c>
      <c r="B234" s="16" t="s">
        <v>428</v>
      </c>
      <c r="C234" s="17" t="s">
        <v>27</v>
      </c>
      <c r="D234" s="8"/>
      <c r="E234" s="8"/>
      <c r="F234" s="8"/>
      <c r="G234" s="8"/>
      <c r="H234" s="8"/>
      <c r="I234" s="4"/>
      <c r="J234" s="7"/>
      <c r="K234" s="7"/>
      <c r="L234" s="3"/>
      <c r="M234" s="5"/>
      <c r="N234" s="5"/>
      <c r="O234" s="5"/>
      <c r="P234" s="5"/>
      <c r="Q234" s="1"/>
      <c r="R234" s="1"/>
    </row>
    <row r="235" spans="1:18" ht="24" x14ac:dyDescent="0.25">
      <c r="A235" s="16" t="s">
        <v>429</v>
      </c>
      <c r="B235" s="16" t="s">
        <v>430</v>
      </c>
      <c r="C235" s="17" t="s">
        <v>27</v>
      </c>
      <c r="D235" s="8"/>
      <c r="E235" s="8"/>
      <c r="F235" s="8"/>
      <c r="G235" s="8"/>
      <c r="H235" s="8"/>
      <c r="I235" s="4"/>
      <c r="J235" s="7"/>
      <c r="K235" s="7"/>
      <c r="L235" s="3"/>
      <c r="M235" s="5"/>
      <c r="N235" s="5"/>
      <c r="O235" s="5"/>
      <c r="P235" s="5"/>
      <c r="Q235" s="1"/>
      <c r="R235" s="1"/>
    </row>
    <row r="236" spans="1:18" ht="24" x14ac:dyDescent="0.25">
      <c r="A236" s="16" t="s">
        <v>431</v>
      </c>
      <c r="B236" s="16" t="s">
        <v>432</v>
      </c>
      <c r="C236" s="17" t="s">
        <v>27</v>
      </c>
      <c r="D236" s="8"/>
      <c r="E236" s="8"/>
      <c r="F236" s="8"/>
      <c r="G236" s="8"/>
      <c r="H236" s="8"/>
      <c r="I236" s="4"/>
      <c r="J236" s="7"/>
      <c r="K236" s="7"/>
      <c r="L236" s="3"/>
      <c r="M236" s="5"/>
      <c r="N236" s="5"/>
      <c r="O236" s="5"/>
      <c r="P236" s="5"/>
      <c r="Q236" s="1"/>
      <c r="R236" s="1"/>
    </row>
    <row r="237" spans="1:18" ht="15" customHeight="1" x14ac:dyDescent="0.25">
      <c r="A237" s="10" t="s">
        <v>433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9">
        <v>375000</v>
      </c>
      <c r="Q237" s="9"/>
      <c r="R237" s="9"/>
    </row>
    <row r="238" spans="1:18" ht="24" x14ac:dyDescent="0.25">
      <c r="A238" s="16" t="s">
        <v>434</v>
      </c>
      <c r="B238" s="16" t="s">
        <v>435</v>
      </c>
      <c r="C238" s="17" t="s">
        <v>27</v>
      </c>
      <c r="D238" s="8">
        <v>46332</v>
      </c>
      <c r="E238" s="7"/>
      <c r="F238" s="8">
        <v>46332</v>
      </c>
      <c r="G238" s="6">
        <v>3</v>
      </c>
      <c r="H238" s="5">
        <v>125000</v>
      </c>
      <c r="I238" s="4">
        <f>G238*H238</f>
        <v>375000</v>
      </c>
      <c r="J238" s="7"/>
      <c r="K238" s="7"/>
      <c r="L238" s="3">
        <v>0</v>
      </c>
      <c r="M238" s="5">
        <v>0</v>
      </c>
      <c r="N238" s="5">
        <v>0</v>
      </c>
      <c r="O238" s="5">
        <v>0</v>
      </c>
      <c r="P238" s="2">
        <f>I238+L238+M238+N238+O238</f>
        <v>375000</v>
      </c>
      <c r="Q238" s="1">
        <v>0</v>
      </c>
      <c r="R238" s="1">
        <f>P238-Q238</f>
        <v>375000</v>
      </c>
    </row>
    <row r="239" spans="1:18" ht="24" x14ac:dyDescent="0.25">
      <c r="A239" s="16" t="s">
        <v>436</v>
      </c>
      <c r="B239" s="16" t="s">
        <v>437</v>
      </c>
      <c r="C239" s="17" t="s">
        <v>27</v>
      </c>
      <c r="D239" s="8"/>
      <c r="E239" s="8"/>
      <c r="F239" s="8"/>
      <c r="G239" s="8"/>
      <c r="H239" s="8"/>
      <c r="I239" s="4"/>
      <c r="J239" s="7"/>
      <c r="K239" s="7"/>
      <c r="L239" s="3"/>
      <c r="M239" s="5"/>
      <c r="N239" s="5"/>
      <c r="O239" s="5"/>
      <c r="P239" s="5"/>
      <c r="Q239" s="1"/>
      <c r="R239" s="1"/>
    </row>
    <row r="240" spans="1:18" ht="24" x14ac:dyDescent="0.25">
      <c r="A240" s="16" t="s">
        <v>438</v>
      </c>
      <c r="B240" s="16" t="s">
        <v>439</v>
      </c>
      <c r="C240" s="17" t="s">
        <v>27</v>
      </c>
      <c r="D240" s="8"/>
      <c r="E240" s="8"/>
      <c r="F240" s="8"/>
      <c r="G240" s="8"/>
      <c r="H240" s="8"/>
      <c r="I240" s="4"/>
      <c r="J240" s="7"/>
      <c r="K240" s="7"/>
      <c r="L240" s="3"/>
      <c r="M240" s="5"/>
      <c r="N240" s="5"/>
      <c r="O240" s="5"/>
      <c r="P240" s="5"/>
      <c r="Q240" s="1"/>
      <c r="R240" s="1"/>
    </row>
    <row r="241" spans="1:18" ht="24" x14ac:dyDescent="0.25">
      <c r="A241" s="16" t="s">
        <v>440</v>
      </c>
      <c r="B241" s="16" t="s">
        <v>441</v>
      </c>
      <c r="C241" s="17" t="s">
        <v>27</v>
      </c>
      <c r="D241" s="8"/>
      <c r="E241" s="8"/>
      <c r="F241" s="8"/>
      <c r="G241" s="8"/>
      <c r="H241" s="8"/>
      <c r="I241" s="4"/>
      <c r="J241" s="7"/>
      <c r="K241" s="7"/>
      <c r="L241" s="3"/>
      <c r="M241" s="5"/>
      <c r="N241" s="5"/>
      <c r="O241" s="5"/>
      <c r="P241" s="5"/>
      <c r="Q241" s="1"/>
      <c r="R241" s="1"/>
    </row>
    <row r="242" spans="1:18" ht="15" customHeight="1" x14ac:dyDescent="0.25">
      <c r="A242" s="10" t="s">
        <v>442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9">
        <v>750000</v>
      </c>
      <c r="Q242" s="9"/>
      <c r="R242" s="9"/>
    </row>
    <row r="243" spans="1:18" ht="24" x14ac:dyDescent="0.25">
      <c r="A243" s="16" t="s">
        <v>443</v>
      </c>
      <c r="B243" s="16" t="s">
        <v>444</v>
      </c>
      <c r="C243" s="17" t="s">
        <v>27</v>
      </c>
      <c r="D243" s="8">
        <v>46335</v>
      </c>
      <c r="E243" s="7"/>
      <c r="F243" s="8">
        <v>46335</v>
      </c>
      <c r="G243" s="6">
        <v>6</v>
      </c>
      <c r="H243" s="5">
        <v>125000</v>
      </c>
      <c r="I243" s="4">
        <f>G243*H243</f>
        <v>750000</v>
      </c>
      <c r="J243" s="7"/>
      <c r="K243" s="7"/>
      <c r="L243" s="3">
        <v>0</v>
      </c>
      <c r="M243" s="5">
        <v>0</v>
      </c>
      <c r="N243" s="5">
        <v>0</v>
      </c>
      <c r="O243" s="5">
        <v>0</v>
      </c>
      <c r="P243" s="2">
        <f>I243+L243+M243+N243+O243</f>
        <v>750000</v>
      </c>
      <c r="Q243" s="1">
        <v>0</v>
      </c>
      <c r="R243" s="1">
        <f>P243-Q243</f>
        <v>750000</v>
      </c>
    </row>
    <row r="244" spans="1:18" ht="24" x14ac:dyDescent="0.25">
      <c r="A244" s="16" t="s">
        <v>445</v>
      </c>
      <c r="B244" s="16" t="s">
        <v>446</v>
      </c>
      <c r="C244" s="17" t="s">
        <v>27</v>
      </c>
      <c r="D244" s="8"/>
      <c r="E244" s="8"/>
      <c r="F244" s="8"/>
      <c r="G244" s="8"/>
      <c r="H244" s="8"/>
      <c r="I244" s="4"/>
      <c r="J244" s="7"/>
      <c r="K244" s="7"/>
      <c r="L244" s="3"/>
      <c r="M244" s="5"/>
      <c r="N244" s="5"/>
      <c r="O244" s="5"/>
      <c r="P244" s="5"/>
      <c r="Q244" s="1"/>
      <c r="R244" s="1"/>
    </row>
    <row r="245" spans="1:18" ht="24" x14ac:dyDescent="0.25">
      <c r="A245" s="16" t="s">
        <v>447</v>
      </c>
      <c r="B245" s="16" t="s">
        <v>448</v>
      </c>
      <c r="C245" s="17" t="s">
        <v>27</v>
      </c>
      <c r="D245" s="8"/>
      <c r="E245" s="8"/>
      <c r="F245" s="8"/>
      <c r="G245" s="8"/>
      <c r="H245" s="8"/>
      <c r="I245" s="4"/>
      <c r="J245" s="7"/>
      <c r="K245" s="7"/>
      <c r="L245" s="3"/>
      <c r="M245" s="5"/>
      <c r="N245" s="5"/>
      <c r="O245" s="5"/>
      <c r="P245" s="5"/>
      <c r="Q245" s="1"/>
      <c r="R245" s="1"/>
    </row>
    <row r="246" spans="1:18" ht="36" x14ac:dyDescent="0.25">
      <c r="A246" s="16" t="s">
        <v>449</v>
      </c>
      <c r="B246" s="16" t="s">
        <v>450</v>
      </c>
      <c r="C246" s="17" t="s">
        <v>27</v>
      </c>
      <c r="D246" s="8"/>
      <c r="E246" s="8"/>
      <c r="F246" s="8"/>
      <c r="G246" s="8"/>
      <c r="H246" s="8"/>
      <c r="I246" s="4"/>
      <c r="J246" s="7"/>
      <c r="K246" s="7"/>
      <c r="L246" s="3"/>
      <c r="M246" s="5"/>
      <c r="N246" s="5"/>
      <c r="O246" s="5"/>
      <c r="P246" s="5"/>
      <c r="Q246" s="1"/>
      <c r="R246" s="1"/>
    </row>
    <row r="247" spans="1:18" ht="15" customHeight="1" x14ac:dyDescent="0.25">
      <c r="A247" s="10" t="s">
        <v>451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9">
        <v>500000</v>
      </c>
      <c r="Q247" s="9"/>
      <c r="R247" s="9"/>
    </row>
    <row r="248" spans="1:18" ht="24" x14ac:dyDescent="0.25">
      <c r="A248" s="16" t="s">
        <v>452</v>
      </c>
      <c r="B248" s="16" t="s">
        <v>453</v>
      </c>
      <c r="C248" s="17" t="s">
        <v>27</v>
      </c>
      <c r="D248" s="8">
        <v>46336</v>
      </c>
      <c r="E248" s="7"/>
      <c r="F248" s="8">
        <v>46336</v>
      </c>
      <c r="G248" s="6">
        <v>4</v>
      </c>
      <c r="H248" s="5">
        <v>125000</v>
      </c>
      <c r="I248" s="4">
        <f>G248*H248</f>
        <v>500000</v>
      </c>
      <c r="J248" s="7"/>
      <c r="K248" s="7"/>
      <c r="L248" s="3">
        <v>0</v>
      </c>
      <c r="M248" s="5">
        <v>0</v>
      </c>
      <c r="N248" s="5">
        <v>0</v>
      </c>
      <c r="O248" s="5">
        <v>0</v>
      </c>
      <c r="P248" s="2">
        <f>I248+L248+M248+N248+O248</f>
        <v>500000</v>
      </c>
      <c r="Q248" s="1">
        <v>0</v>
      </c>
      <c r="R248" s="1">
        <f>P248-Q248</f>
        <v>500000</v>
      </c>
    </row>
    <row r="249" spans="1:18" ht="24" x14ac:dyDescent="0.25">
      <c r="A249" s="16" t="s">
        <v>454</v>
      </c>
      <c r="B249" s="16" t="s">
        <v>455</v>
      </c>
      <c r="C249" s="17" t="s">
        <v>27</v>
      </c>
      <c r="D249" s="8"/>
      <c r="E249" s="8"/>
      <c r="F249" s="8"/>
      <c r="G249" s="8"/>
      <c r="H249" s="8"/>
      <c r="I249" s="4"/>
      <c r="J249" s="7"/>
      <c r="K249" s="7"/>
      <c r="L249" s="3"/>
      <c r="M249" s="5"/>
      <c r="N249" s="5"/>
      <c r="O249" s="5"/>
      <c r="P249" s="5"/>
      <c r="Q249" s="1"/>
      <c r="R249" s="1"/>
    </row>
    <row r="250" spans="1:18" ht="24" x14ac:dyDescent="0.25">
      <c r="A250" s="16" t="s">
        <v>456</v>
      </c>
      <c r="B250" s="16" t="s">
        <v>457</v>
      </c>
      <c r="C250" s="17" t="s">
        <v>27</v>
      </c>
      <c r="D250" s="8"/>
      <c r="E250" s="8"/>
      <c r="F250" s="8"/>
      <c r="G250" s="8"/>
      <c r="H250" s="8"/>
      <c r="I250" s="4"/>
      <c r="J250" s="7"/>
      <c r="K250" s="7"/>
      <c r="L250" s="3"/>
      <c r="M250" s="5"/>
      <c r="N250" s="5"/>
      <c r="O250" s="5"/>
      <c r="P250" s="5"/>
      <c r="Q250" s="1"/>
      <c r="R250" s="1"/>
    </row>
    <row r="251" spans="1:18" ht="24" x14ac:dyDescent="0.25">
      <c r="A251" s="16" t="s">
        <v>458</v>
      </c>
      <c r="B251" s="16" t="s">
        <v>459</v>
      </c>
      <c r="C251" s="17" t="s">
        <v>27</v>
      </c>
      <c r="D251" s="8"/>
      <c r="E251" s="8"/>
      <c r="F251" s="8"/>
      <c r="G251" s="8"/>
      <c r="H251" s="8"/>
      <c r="I251" s="4"/>
      <c r="J251" s="7"/>
      <c r="K251" s="7"/>
      <c r="L251" s="3"/>
      <c r="M251" s="5"/>
      <c r="N251" s="5"/>
      <c r="O251" s="5"/>
      <c r="P251" s="5"/>
      <c r="Q251" s="1"/>
      <c r="R251" s="1"/>
    </row>
    <row r="252" spans="1:18" ht="15" customHeight="1" x14ac:dyDescent="0.25">
      <c r="A252" s="10" t="s">
        <v>460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9">
        <v>375000</v>
      </c>
      <c r="Q252" s="9"/>
      <c r="R252" s="9"/>
    </row>
    <row r="253" spans="1:18" ht="24" x14ac:dyDescent="0.25">
      <c r="A253" s="16" t="s">
        <v>461</v>
      </c>
      <c r="B253" s="16" t="s">
        <v>462</v>
      </c>
      <c r="C253" s="17" t="s">
        <v>27</v>
      </c>
      <c r="D253" s="8">
        <v>46337</v>
      </c>
      <c r="E253" s="7"/>
      <c r="F253" s="8">
        <v>46337</v>
      </c>
      <c r="G253" s="6">
        <v>3</v>
      </c>
      <c r="H253" s="5">
        <v>125000</v>
      </c>
      <c r="I253" s="4">
        <f>G253*H253</f>
        <v>375000</v>
      </c>
      <c r="J253" s="7"/>
      <c r="K253" s="7"/>
      <c r="L253" s="3">
        <v>0</v>
      </c>
      <c r="M253" s="5">
        <v>0</v>
      </c>
      <c r="N253" s="5">
        <v>0</v>
      </c>
      <c r="O253" s="5">
        <v>0</v>
      </c>
      <c r="P253" s="2">
        <f>I253+L253+M253+N253+O253</f>
        <v>375000</v>
      </c>
      <c r="Q253" s="1">
        <v>0</v>
      </c>
      <c r="R253" s="1">
        <f>P253-Q253</f>
        <v>375000</v>
      </c>
    </row>
    <row r="254" spans="1:18" ht="24" x14ac:dyDescent="0.25">
      <c r="A254" s="16" t="s">
        <v>463</v>
      </c>
      <c r="B254" s="16" t="s">
        <v>464</v>
      </c>
      <c r="C254" s="17" t="s">
        <v>27</v>
      </c>
      <c r="D254" s="8"/>
      <c r="E254" s="8"/>
      <c r="F254" s="8"/>
      <c r="G254" s="8"/>
      <c r="H254" s="8"/>
      <c r="I254" s="4"/>
      <c r="J254" s="7"/>
      <c r="K254" s="7"/>
      <c r="L254" s="3"/>
      <c r="M254" s="5"/>
      <c r="N254" s="5"/>
      <c r="O254" s="5"/>
      <c r="P254" s="5"/>
      <c r="Q254" s="1"/>
      <c r="R254" s="1"/>
    </row>
    <row r="255" spans="1:18" ht="24" x14ac:dyDescent="0.25">
      <c r="A255" s="16" t="s">
        <v>465</v>
      </c>
      <c r="B255" s="16" t="s">
        <v>457</v>
      </c>
      <c r="C255" s="17" t="s">
        <v>27</v>
      </c>
      <c r="D255" s="8"/>
      <c r="E255" s="8"/>
      <c r="F255" s="8"/>
      <c r="G255" s="8"/>
      <c r="H255" s="8"/>
      <c r="I255" s="4"/>
      <c r="J255" s="7"/>
      <c r="K255" s="7"/>
      <c r="L255" s="3"/>
      <c r="M255" s="5"/>
      <c r="N255" s="5"/>
      <c r="O255" s="5"/>
      <c r="P255" s="5"/>
      <c r="Q255" s="1"/>
      <c r="R255" s="1"/>
    </row>
    <row r="256" spans="1:18" ht="24" x14ac:dyDescent="0.25">
      <c r="A256" s="16" t="s">
        <v>466</v>
      </c>
      <c r="B256" s="16" t="s">
        <v>467</v>
      </c>
      <c r="C256" s="17" t="s">
        <v>27</v>
      </c>
      <c r="D256" s="8"/>
      <c r="E256" s="8"/>
      <c r="F256" s="8"/>
      <c r="G256" s="8"/>
      <c r="H256" s="8"/>
      <c r="I256" s="4"/>
      <c r="J256" s="7"/>
      <c r="K256" s="7"/>
      <c r="L256" s="3"/>
      <c r="M256" s="5"/>
      <c r="N256" s="5"/>
      <c r="O256" s="5"/>
      <c r="P256" s="5"/>
      <c r="Q256" s="1"/>
      <c r="R256" s="1"/>
    </row>
    <row r="257" spans="1:18" ht="15" customHeight="1" x14ac:dyDescent="0.25">
      <c r="A257" s="10" t="s">
        <v>468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9">
        <v>1000000</v>
      </c>
      <c r="Q257" s="9"/>
      <c r="R257" s="9"/>
    </row>
    <row r="258" spans="1:18" ht="24" x14ac:dyDescent="0.25">
      <c r="A258" s="16" t="s">
        <v>469</v>
      </c>
      <c r="B258" s="16" t="s">
        <v>470</v>
      </c>
      <c r="C258" s="17" t="s">
        <v>27</v>
      </c>
      <c r="D258" s="8">
        <v>46338</v>
      </c>
      <c r="E258" s="7"/>
      <c r="F258" s="8">
        <v>46338</v>
      </c>
      <c r="G258" s="6">
        <v>8</v>
      </c>
      <c r="H258" s="5">
        <v>125000</v>
      </c>
      <c r="I258" s="4">
        <f>G258*H258</f>
        <v>1000000</v>
      </c>
      <c r="J258" s="7"/>
      <c r="K258" s="7"/>
      <c r="L258" s="3">
        <v>0</v>
      </c>
      <c r="M258" s="5">
        <v>0</v>
      </c>
      <c r="N258" s="5">
        <v>0</v>
      </c>
      <c r="O258" s="5">
        <v>0</v>
      </c>
      <c r="P258" s="2">
        <f>I258+L258+M258+N258+O258</f>
        <v>1000000</v>
      </c>
      <c r="Q258" s="1">
        <v>0</v>
      </c>
      <c r="R258" s="1">
        <f>P258-Q258</f>
        <v>1000000</v>
      </c>
    </row>
    <row r="259" spans="1:18" ht="24" x14ac:dyDescent="0.25">
      <c r="A259" s="16" t="s">
        <v>471</v>
      </c>
      <c r="B259" s="16" t="s">
        <v>472</v>
      </c>
      <c r="C259" s="17" t="s">
        <v>27</v>
      </c>
      <c r="D259" s="8"/>
      <c r="E259" s="8"/>
      <c r="F259" s="8"/>
      <c r="G259" s="8"/>
      <c r="H259" s="8"/>
      <c r="I259" s="4"/>
      <c r="J259" s="7"/>
      <c r="K259" s="7"/>
      <c r="L259" s="3"/>
      <c r="M259" s="5"/>
      <c r="N259" s="5"/>
      <c r="O259" s="5"/>
      <c r="P259" s="5"/>
      <c r="Q259" s="1"/>
      <c r="R259" s="1"/>
    </row>
    <row r="260" spans="1:18" ht="24" x14ac:dyDescent="0.25">
      <c r="A260" s="16" t="s">
        <v>473</v>
      </c>
      <c r="B260" s="16" t="s">
        <v>457</v>
      </c>
      <c r="C260" s="17" t="s">
        <v>27</v>
      </c>
      <c r="D260" s="8"/>
      <c r="E260" s="8"/>
      <c r="F260" s="8"/>
      <c r="G260" s="8"/>
      <c r="H260" s="8"/>
      <c r="I260" s="4"/>
      <c r="J260" s="7"/>
      <c r="K260" s="7"/>
      <c r="L260" s="3"/>
      <c r="M260" s="5"/>
      <c r="N260" s="5"/>
      <c r="O260" s="5"/>
      <c r="P260" s="5"/>
      <c r="Q260" s="1"/>
      <c r="R260" s="1"/>
    </row>
    <row r="261" spans="1:18" ht="24" x14ac:dyDescent="0.25">
      <c r="A261" s="16" t="s">
        <v>474</v>
      </c>
      <c r="B261" s="16" t="s">
        <v>467</v>
      </c>
      <c r="C261" s="17" t="s">
        <v>27</v>
      </c>
      <c r="D261" s="8"/>
      <c r="E261" s="8"/>
      <c r="F261" s="8"/>
      <c r="G261" s="8"/>
      <c r="H261" s="8"/>
      <c r="I261" s="4"/>
      <c r="J261" s="7"/>
      <c r="K261" s="7"/>
      <c r="L261" s="3"/>
      <c r="M261" s="5"/>
      <c r="N261" s="5"/>
      <c r="O261" s="5"/>
      <c r="P261" s="5"/>
      <c r="Q261" s="1"/>
      <c r="R261" s="1"/>
    </row>
    <row r="262" spans="1:18" ht="15" customHeight="1" x14ac:dyDescent="0.25">
      <c r="A262" s="10" t="s">
        <v>475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9">
        <v>375000</v>
      </c>
      <c r="Q262" s="9"/>
      <c r="R262" s="9"/>
    </row>
    <row r="263" spans="1:18" ht="24" x14ac:dyDescent="0.25">
      <c r="A263" s="16" t="s">
        <v>476</v>
      </c>
      <c r="B263" s="16" t="s">
        <v>477</v>
      </c>
      <c r="C263" s="17" t="s">
        <v>27</v>
      </c>
      <c r="D263" s="8">
        <v>46339</v>
      </c>
      <c r="E263" s="7"/>
      <c r="F263" s="8">
        <v>46339</v>
      </c>
      <c r="G263" s="6">
        <v>3</v>
      </c>
      <c r="H263" s="5">
        <v>125000</v>
      </c>
      <c r="I263" s="4">
        <f>G263*H263</f>
        <v>375000</v>
      </c>
      <c r="J263" s="7"/>
      <c r="K263" s="7"/>
      <c r="L263" s="3">
        <v>0</v>
      </c>
      <c r="M263" s="5">
        <v>0</v>
      </c>
      <c r="N263" s="5">
        <v>0</v>
      </c>
      <c r="O263" s="5">
        <v>0</v>
      </c>
      <c r="P263" s="2">
        <f>I263+L263+M263+N263+O263</f>
        <v>375000</v>
      </c>
      <c r="Q263" s="1">
        <v>0</v>
      </c>
      <c r="R263" s="1">
        <f>P263-Q263</f>
        <v>375000</v>
      </c>
    </row>
    <row r="264" spans="1:18" ht="24" x14ac:dyDescent="0.25">
      <c r="A264" s="16" t="s">
        <v>478</v>
      </c>
      <c r="B264" s="16" t="s">
        <v>479</v>
      </c>
      <c r="C264" s="17" t="s">
        <v>27</v>
      </c>
      <c r="D264" s="8"/>
      <c r="E264" s="8"/>
      <c r="F264" s="8"/>
      <c r="G264" s="8"/>
      <c r="H264" s="8"/>
      <c r="I264" s="4"/>
      <c r="J264" s="7"/>
      <c r="K264" s="7"/>
      <c r="L264" s="3"/>
      <c r="M264" s="5"/>
      <c r="N264" s="5"/>
      <c r="O264" s="5"/>
      <c r="P264" s="5"/>
      <c r="Q264" s="1"/>
      <c r="R264" s="1"/>
    </row>
    <row r="265" spans="1:18" ht="24" x14ac:dyDescent="0.25">
      <c r="A265" s="16" t="s">
        <v>480</v>
      </c>
      <c r="B265" s="16" t="s">
        <v>219</v>
      </c>
      <c r="C265" s="17" t="s">
        <v>27</v>
      </c>
      <c r="D265" s="8"/>
      <c r="E265" s="8"/>
      <c r="F265" s="8"/>
      <c r="G265" s="8"/>
      <c r="H265" s="8"/>
      <c r="I265" s="4"/>
      <c r="J265" s="7"/>
      <c r="K265" s="7"/>
      <c r="L265" s="3"/>
      <c r="M265" s="5"/>
      <c r="N265" s="5"/>
      <c r="O265" s="5"/>
      <c r="P265" s="5"/>
      <c r="Q265" s="1"/>
      <c r="R265" s="1"/>
    </row>
    <row r="266" spans="1:18" ht="24" x14ac:dyDescent="0.25">
      <c r="A266" s="16" t="s">
        <v>481</v>
      </c>
      <c r="B266" s="16" t="s">
        <v>467</v>
      </c>
      <c r="C266" s="17" t="s">
        <v>27</v>
      </c>
      <c r="D266" s="8"/>
      <c r="E266" s="8"/>
      <c r="F266" s="8"/>
      <c r="G266" s="8"/>
      <c r="H266" s="8"/>
      <c r="I266" s="4"/>
      <c r="J266" s="7"/>
      <c r="K266" s="7"/>
      <c r="L266" s="3"/>
      <c r="M266" s="5"/>
      <c r="N266" s="5"/>
      <c r="O266" s="5"/>
      <c r="P266" s="5"/>
      <c r="Q266" s="1"/>
      <c r="R266" s="1"/>
    </row>
    <row r="267" spans="1:18" ht="15" customHeight="1" x14ac:dyDescent="0.25">
      <c r="A267" s="10" t="s">
        <v>482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9">
        <v>375000</v>
      </c>
      <c r="Q267" s="9"/>
      <c r="R267" s="9"/>
    </row>
    <row r="268" spans="1:18" ht="24" x14ac:dyDescent="0.25">
      <c r="A268" s="16" t="s">
        <v>483</v>
      </c>
      <c r="B268" s="16" t="s">
        <v>484</v>
      </c>
      <c r="C268" s="17" t="s">
        <v>27</v>
      </c>
      <c r="D268" s="8">
        <v>46342</v>
      </c>
      <c r="E268" s="7"/>
      <c r="F268" s="8">
        <v>46342</v>
      </c>
      <c r="G268" s="6">
        <v>3</v>
      </c>
      <c r="H268" s="5">
        <v>125000</v>
      </c>
      <c r="I268" s="4">
        <f>G268*H268</f>
        <v>375000</v>
      </c>
      <c r="J268" s="7"/>
      <c r="K268" s="7"/>
      <c r="L268" s="3">
        <v>0</v>
      </c>
      <c r="M268" s="5">
        <v>0</v>
      </c>
      <c r="N268" s="5">
        <v>0</v>
      </c>
      <c r="O268" s="5">
        <v>0</v>
      </c>
      <c r="P268" s="2">
        <f>I268+L268+M268+N268+O268</f>
        <v>375000</v>
      </c>
      <c r="Q268" s="1">
        <v>0</v>
      </c>
      <c r="R268" s="1">
        <f>P268-Q268</f>
        <v>375000</v>
      </c>
    </row>
    <row r="269" spans="1:18" ht="24" x14ac:dyDescent="0.25">
      <c r="A269" s="16" t="s">
        <v>485</v>
      </c>
      <c r="B269" s="16" t="s">
        <v>486</v>
      </c>
      <c r="C269" s="17" t="s">
        <v>27</v>
      </c>
      <c r="D269" s="8"/>
      <c r="E269" s="8"/>
      <c r="F269" s="8"/>
      <c r="G269" s="8"/>
      <c r="H269" s="8"/>
      <c r="I269" s="4"/>
      <c r="J269" s="7"/>
      <c r="K269" s="7"/>
      <c r="L269" s="3"/>
      <c r="M269" s="5"/>
      <c r="N269" s="5"/>
      <c r="O269" s="5"/>
      <c r="P269" s="5"/>
      <c r="Q269" s="1"/>
      <c r="R269" s="1"/>
    </row>
    <row r="270" spans="1:18" ht="24" x14ac:dyDescent="0.25">
      <c r="A270" s="16" t="s">
        <v>487</v>
      </c>
      <c r="B270" s="16" t="s">
        <v>488</v>
      </c>
      <c r="C270" s="17" t="s">
        <v>27</v>
      </c>
      <c r="D270" s="8"/>
      <c r="E270" s="8"/>
      <c r="F270" s="8"/>
      <c r="G270" s="8"/>
      <c r="H270" s="8"/>
      <c r="I270" s="4"/>
      <c r="J270" s="7"/>
      <c r="K270" s="7"/>
      <c r="L270" s="3"/>
      <c r="M270" s="5"/>
      <c r="N270" s="5"/>
      <c r="O270" s="5"/>
      <c r="P270" s="5"/>
      <c r="Q270" s="1"/>
      <c r="R270" s="1"/>
    </row>
    <row r="271" spans="1:18" ht="24" x14ac:dyDescent="0.25">
      <c r="A271" s="16" t="s">
        <v>489</v>
      </c>
      <c r="B271" s="16" t="s">
        <v>490</v>
      </c>
      <c r="C271" s="17" t="s">
        <v>27</v>
      </c>
      <c r="D271" s="8"/>
      <c r="E271" s="8"/>
      <c r="F271" s="8"/>
      <c r="G271" s="8"/>
      <c r="H271" s="8"/>
      <c r="I271" s="4"/>
      <c r="J271" s="7"/>
      <c r="K271" s="7"/>
      <c r="L271" s="3"/>
      <c r="M271" s="5"/>
      <c r="N271" s="5"/>
      <c r="O271" s="5"/>
      <c r="P271" s="5"/>
      <c r="Q271" s="1"/>
      <c r="R271" s="1"/>
    </row>
    <row r="272" spans="1:18" ht="15" customHeight="1" x14ac:dyDescent="0.25">
      <c r="A272" s="10" t="s">
        <v>491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9">
        <v>375000</v>
      </c>
      <c r="Q272" s="9"/>
      <c r="R272" s="9"/>
    </row>
    <row r="273" spans="1:18" ht="24" x14ac:dyDescent="0.25">
      <c r="A273" s="16" t="s">
        <v>492</v>
      </c>
      <c r="B273" s="16" t="s">
        <v>493</v>
      </c>
      <c r="C273" s="17" t="s">
        <v>27</v>
      </c>
      <c r="D273" s="8">
        <v>46343</v>
      </c>
      <c r="E273" s="7"/>
      <c r="F273" s="8">
        <v>46343</v>
      </c>
      <c r="G273" s="6">
        <v>3</v>
      </c>
      <c r="H273" s="5">
        <v>125000</v>
      </c>
      <c r="I273" s="4">
        <f>G273*H273</f>
        <v>375000</v>
      </c>
      <c r="J273" s="7"/>
      <c r="K273" s="7"/>
      <c r="L273" s="3">
        <v>0</v>
      </c>
      <c r="M273" s="5">
        <v>0</v>
      </c>
      <c r="N273" s="5">
        <v>0</v>
      </c>
      <c r="O273" s="5">
        <v>0</v>
      </c>
      <c r="P273" s="2">
        <f>I273+L273+M273+N273+O273</f>
        <v>375000</v>
      </c>
      <c r="Q273" s="1">
        <v>0</v>
      </c>
      <c r="R273" s="1">
        <f>P273-Q273</f>
        <v>375000</v>
      </c>
    </row>
    <row r="274" spans="1:18" ht="24" x14ac:dyDescent="0.25">
      <c r="A274" s="16" t="s">
        <v>494</v>
      </c>
      <c r="B274" s="16" t="s">
        <v>495</v>
      </c>
      <c r="C274" s="17" t="s">
        <v>27</v>
      </c>
      <c r="D274" s="8"/>
      <c r="E274" s="8"/>
      <c r="F274" s="8"/>
      <c r="G274" s="8"/>
      <c r="H274" s="8"/>
      <c r="I274" s="4"/>
      <c r="J274" s="7"/>
      <c r="K274" s="7"/>
      <c r="L274" s="3"/>
      <c r="M274" s="5"/>
      <c r="N274" s="5"/>
      <c r="O274" s="5"/>
      <c r="P274" s="5"/>
      <c r="Q274" s="1"/>
      <c r="R274" s="1"/>
    </row>
    <row r="275" spans="1:18" ht="24" x14ac:dyDescent="0.25">
      <c r="A275" s="16" t="s">
        <v>496</v>
      </c>
      <c r="B275" s="16" t="s">
        <v>497</v>
      </c>
      <c r="C275" s="17" t="s">
        <v>27</v>
      </c>
      <c r="D275" s="8"/>
      <c r="E275" s="8"/>
      <c r="F275" s="8"/>
      <c r="G275" s="8"/>
      <c r="H275" s="8"/>
      <c r="I275" s="4"/>
      <c r="J275" s="7"/>
      <c r="K275" s="7"/>
      <c r="L275" s="3"/>
      <c r="M275" s="5"/>
      <c r="N275" s="5"/>
      <c r="O275" s="5"/>
      <c r="P275" s="5"/>
      <c r="Q275" s="1"/>
      <c r="R275" s="1"/>
    </row>
    <row r="276" spans="1:18" ht="24" x14ac:dyDescent="0.25">
      <c r="A276" s="16" t="s">
        <v>498</v>
      </c>
      <c r="B276" s="16" t="s">
        <v>499</v>
      </c>
      <c r="C276" s="17" t="s">
        <v>27</v>
      </c>
      <c r="D276" s="8"/>
      <c r="E276" s="8"/>
      <c r="F276" s="8"/>
      <c r="G276" s="8"/>
      <c r="H276" s="8"/>
      <c r="I276" s="4"/>
      <c r="J276" s="7"/>
      <c r="K276" s="7"/>
      <c r="L276" s="3"/>
      <c r="M276" s="5"/>
      <c r="N276" s="5"/>
      <c r="O276" s="5"/>
      <c r="P276" s="5"/>
      <c r="Q276" s="1"/>
      <c r="R276" s="1"/>
    </row>
    <row r="277" spans="1:18" ht="15" customHeight="1" x14ac:dyDescent="0.25">
      <c r="A277" s="10" t="s">
        <v>500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9">
        <v>3000000</v>
      </c>
      <c r="Q277" s="9"/>
      <c r="R277" s="9"/>
    </row>
    <row r="278" spans="1:18" ht="24" x14ac:dyDescent="0.25">
      <c r="A278" s="16" t="s">
        <v>501</v>
      </c>
      <c r="B278" s="16" t="s">
        <v>502</v>
      </c>
      <c r="C278" s="17" t="s">
        <v>27</v>
      </c>
      <c r="D278" s="8">
        <v>46344</v>
      </c>
      <c r="E278" s="7"/>
      <c r="F278" s="8">
        <v>46345</v>
      </c>
      <c r="G278" s="6">
        <v>24</v>
      </c>
      <c r="H278" s="5">
        <v>125000</v>
      </c>
      <c r="I278" s="4">
        <f>G278*H278</f>
        <v>3000000</v>
      </c>
      <c r="J278" s="7"/>
      <c r="K278" s="7"/>
      <c r="L278" s="3">
        <v>0</v>
      </c>
      <c r="M278" s="5">
        <v>0</v>
      </c>
      <c r="N278" s="5">
        <v>0</v>
      </c>
      <c r="O278" s="5">
        <v>0</v>
      </c>
      <c r="P278" s="2">
        <f>I278+L278+M278+N278+O278</f>
        <v>3000000</v>
      </c>
      <c r="Q278" s="1">
        <v>0</v>
      </c>
      <c r="R278" s="1">
        <f>P278-Q278</f>
        <v>3000000</v>
      </c>
    </row>
    <row r="279" spans="1:18" ht="24" x14ac:dyDescent="0.25">
      <c r="A279" s="16" t="s">
        <v>503</v>
      </c>
      <c r="B279" s="16" t="s">
        <v>504</v>
      </c>
      <c r="C279" s="17" t="s">
        <v>27</v>
      </c>
      <c r="D279" s="8"/>
      <c r="E279" s="8"/>
      <c r="F279" s="8"/>
      <c r="G279" s="8"/>
      <c r="H279" s="8"/>
      <c r="I279" s="4"/>
      <c r="J279" s="7"/>
      <c r="K279" s="7"/>
      <c r="L279" s="3"/>
      <c r="M279" s="5"/>
      <c r="N279" s="5"/>
      <c r="O279" s="5"/>
      <c r="P279" s="5"/>
      <c r="Q279" s="1"/>
      <c r="R279" s="1"/>
    </row>
    <row r="280" spans="1:18" ht="24" x14ac:dyDescent="0.25">
      <c r="A280" s="16" t="s">
        <v>505</v>
      </c>
      <c r="B280" s="16" t="s">
        <v>506</v>
      </c>
      <c r="C280" s="17" t="s">
        <v>27</v>
      </c>
      <c r="D280" s="8"/>
      <c r="E280" s="8"/>
      <c r="F280" s="8"/>
      <c r="G280" s="8"/>
      <c r="H280" s="8"/>
      <c r="I280" s="4"/>
      <c r="J280" s="7"/>
      <c r="K280" s="7"/>
      <c r="L280" s="3"/>
      <c r="M280" s="5"/>
      <c r="N280" s="5"/>
      <c r="O280" s="5"/>
      <c r="P280" s="5"/>
      <c r="Q280" s="1"/>
      <c r="R280" s="1"/>
    </row>
    <row r="281" spans="1:18" ht="24" x14ac:dyDescent="0.25">
      <c r="A281" s="16" t="s">
        <v>507</v>
      </c>
      <c r="B281" s="16" t="s">
        <v>508</v>
      </c>
      <c r="C281" s="17" t="s">
        <v>27</v>
      </c>
      <c r="D281" s="8"/>
      <c r="E281" s="8"/>
      <c r="F281" s="8"/>
      <c r="G281" s="8"/>
      <c r="H281" s="8"/>
      <c r="I281" s="4"/>
      <c r="J281" s="7"/>
      <c r="K281" s="7"/>
      <c r="L281" s="3"/>
      <c r="M281" s="5"/>
      <c r="N281" s="5"/>
      <c r="O281" s="5"/>
      <c r="P281" s="5"/>
      <c r="Q281" s="1"/>
      <c r="R281" s="1"/>
    </row>
    <row r="282" spans="1:18" ht="15" customHeight="1" x14ac:dyDescent="0.25">
      <c r="A282" s="10" t="s">
        <v>509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9">
        <v>250000</v>
      </c>
      <c r="Q282" s="9"/>
      <c r="R282" s="9"/>
    </row>
    <row r="283" spans="1:18" ht="24" x14ac:dyDescent="0.25">
      <c r="A283" s="16" t="s">
        <v>510</v>
      </c>
      <c r="B283" s="16" t="s">
        <v>511</v>
      </c>
      <c r="C283" s="17" t="s">
        <v>27</v>
      </c>
      <c r="D283" s="8">
        <v>46346</v>
      </c>
      <c r="E283" s="7"/>
      <c r="F283" s="8">
        <v>46346</v>
      </c>
      <c r="G283" s="6">
        <v>2</v>
      </c>
      <c r="H283" s="5">
        <v>125000</v>
      </c>
      <c r="I283" s="4">
        <f>G283*H283</f>
        <v>250000</v>
      </c>
      <c r="J283" s="7"/>
      <c r="K283" s="7"/>
      <c r="L283" s="3">
        <v>0</v>
      </c>
      <c r="M283" s="5">
        <v>0</v>
      </c>
      <c r="N283" s="5">
        <v>0</v>
      </c>
      <c r="O283" s="5">
        <v>0</v>
      </c>
      <c r="P283" s="2">
        <f>I283+L283+M283+N283+O283</f>
        <v>250000</v>
      </c>
      <c r="Q283" s="1">
        <v>0</v>
      </c>
      <c r="R283" s="1">
        <f>P283-Q283</f>
        <v>250000</v>
      </c>
    </row>
    <row r="284" spans="1:18" ht="24" x14ac:dyDescent="0.25">
      <c r="A284" s="16" t="s">
        <v>512</v>
      </c>
      <c r="B284" s="16" t="s">
        <v>513</v>
      </c>
      <c r="C284" s="17" t="s">
        <v>27</v>
      </c>
      <c r="D284" s="8"/>
      <c r="E284" s="8"/>
      <c r="F284" s="8"/>
      <c r="G284" s="8"/>
      <c r="H284" s="8"/>
      <c r="I284" s="4"/>
      <c r="J284" s="7"/>
      <c r="K284" s="7"/>
      <c r="L284" s="3"/>
      <c r="M284" s="5"/>
      <c r="N284" s="5"/>
      <c r="O284" s="5"/>
      <c r="P284" s="5"/>
      <c r="Q284" s="1"/>
      <c r="R284" s="1"/>
    </row>
    <row r="285" spans="1:18" ht="24" x14ac:dyDescent="0.25">
      <c r="A285" s="16" t="s">
        <v>514</v>
      </c>
      <c r="B285" s="16" t="s">
        <v>515</v>
      </c>
      <c r="C285" s="17" t="s">
        <v>27</v>
      </c>
      <c r="D285" s="8"/>
      <c r="E285" s="8"/>
      <c r="F285" s="8"/>
      <c r="G285" s="8"/>
      <c r="H285" s="8"/>
      <c r="I285" s="4"/>
      <c r="J285" s="7"/>
      <c r="K285" s="7"/>
      <c r="L285" s="3"/>
      <c r="M285" s="5"/>
      <c r="N285" s="5"/>
      <c r="O285" s="5"/>
      <c r="P285" s="5"/>
      <c r="Q285" s="1"/>
      <c r="R285" s="1"/>
    </row>
    <row r="286" spans="1:18" ht="24" x14ac:dyDescent="0.25">
      <c r="A286" s="16" t="s">
        <v>516</v>
      </c>
      <c r="B286" s="16" t="s">
        <v>517</v>
      </c>
      <c r="C286" s="17" t="s">
        <v>27</v>
      </c>
      <c r="D286" s="8"/>
      <c r="E286" s="8"/>
      <c r="F286" s="8"/>
      <c r="G286" s="8"/>
      <c r="H286" s="8"/>
      <c r="I286" s="4"/>
      <c r="J286" s="7"/>
      <c r="K286" s="7"/>
      <c r="L286" s="3"/>
      <c r="M286" s="5"/>
      <c r="N286" s="5"/>
      <c r="O286" s="5"/>
      <c r="P286" s="5"/>
      <c r="Q286" s="1"/>
      <c r="R286" s="1"/>
    </row>
    <row r="287" spans="1:18" ht="15" customHeight="1" x14ac:dyDescent="0.25">
      <c r="A287" s="10" t="s">
        <v>518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9">
        <v>375000</v>
      </c>
      <c r="Q287" s="9"/>
      <c r="R287" s="9"/>
    </row>
    <row r="288" spans="1:18" ht="24" x14ac:dyDescent="0.25">
      <c r="A288" s="16" t="s">
        <v>519</v>
      </c>
      <c r="B288" s="16" t="s">
        <v>470</v>
      </c>
      <c r="C288" s="17" t="s">
        <v>27</v>
      </c>
      <c r="D288" s="8">
        <v>46349</v>
      </c>
      <c r="E288" s="7"/>
      <c r="F288" s="8">
        <v>46349</v>
      </c>
      <c r="G288" s="6">
        <v>3</v>
      </c>
      <c r="H288" s="5">
        <v>125000</v>
      </c>
      <c r="I288" s="4">
        <f>G288*H288</f>
        <v>375000</v>
      </c>
      <c r="J288" s="7"/>
      <c r="K288" s="7"/>
      <c r="L288" s="3">
        <v>0</v>
      </c>
      <c r="M288" s="5">
        <v>0</v>
      </c>
      <c r="N288" s="5">
        <v>0</v>
      </c>
      <c r="O288" s="5">
        <v>0</v>
      </c>
      <c r="P288" s="2">
        <f>I288+L288+M288+N288+O288</f>
        <v>375000</v>
      </c>
      <c r="Q288" s="1">
        <v>0</v>
      </c>
      <c r="R288" s="1">
        <f>P288-Q288</f>
        <v>375000</v>
      </c>
    </row>
    <row r="289" spans="1:18" ht="24" x14ac:dyDescent="0.25">
      <c r="A289" s="16" t="s">
        <v>520</v>
      </c>
      <c r="B289" s="16" t="s">
        <v>521</v>
      </c>
      <c r="C289" s="17" t="s">
        <v>27</v>
      </c>
      <c r="D289" s="8"/>
      <c r="E289" s="8"/>
      <c r="F289" s="8"/>
      <c r="G289" s="8"/>
      <c r="H289" s="8"/>
      <c r="I289" s="4"/>
      <c r="J289" s="7"/>
      <c r="K289" s="7"/>
      <c r="L289" s="3"/>
      <c r="M289" s="5"/>
      <c r="N289" s="5"/>
      <c r="O289" s="5"/>
      <c r="P289" s="5"/>
      <c r="Q289" s="1"/>
      <c r="R289" s="1"/>
    </row>
    <row r="290" spans="1:18" ht="24" x14ac:dyDescent="0.25">
      <c r="A290" s="16" t="s">
        <v>522</v>
      </c>
      <c r="B290" s="16" t="s">
        <v>523</v>
      </c>
      <c r="C290" s="17" t="s">
        <v>27</v>
      </c>
      <c r="D290" s="8"/>
      <c r="E290" s="8"/>
      <c r="F290" s="8"/>
      <c r="G290" s="8"/>
      <c r="H290" s="8"/>
      <c r="I290" s="4"/>
      <c r="J290" s="7"/>
      <c r="K290" s="7"/>
      <c r="L290" s="3"/>
      <c r="M290" s="5"/>
      <c r="N290" s="5"/>
      <c r="O290" s="5"/>
      <c r="P290" s="5"/>
      <c r="Q290" s="1"/>
      <c r="R290" s="1"/>
    </row>
    <row r="291" spans="1:18" x14ac:dyDescent="0.25">
      <c r="A291" s="16" t="s">
        <v>524</v>
      </c>
      <c r="B291" s="16" t="s">
        <v>525</v>
      </c>
      <c r="C291" s="17" t="s">
        <v>27</v>
      </c>
      <c r="D291" s="8"/>
      <c r="E291" s="8"/>
      <c r="F291" s="8"/>
      <c r="G291" s="8"/>
      <c r="H291" s="8"/>
      <c r="I291" s="4"/>
      <c r="J291" s="7"/>
      <c r="K291" s="7"/>
      <c r="L291" s="3"/>
      <c r="M291" s="5"/>
      <c r="N291" s="5"/>
      <c r="O291" s="5"/>
      <c r="P291" s="5"/>
      <c r="Q291" s="1"/>
      <c r="R291" s="1"/>
    </row>
    <row r="292" spans="1:18" ht="15" customHeight="1" x14ac:dyDescent="0.25">
      <c r="A292" s="11" t="s">
        <v>526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1:18" ht="15" customHeight="1" x14ac:dyDescent="0.25">
      <c r="A293" s="10" t="s">
        <v>527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9">
        <v>1640000</v>
      </c>
      <c r="Q293" s="9"/>
      <c r="R293" s="9"/>
    </row>
    <row r="294" spans="1:18" ht="36" x14ac:dyDescent="0.25">
      <c r="A294" s="16" t="s">
        <v>528</v>
      </c>
      <c r="B294" s="16" t="s">
        <v>529</v>
      </c>
      <c r="C294" s="17" t="s">
        <v>27</v>
      </c>
      <c r="D294" s="8">
        <v>46350</v>
      </c>
      <c r="E294" s="7"/>
      <c r="F294" s="8">
        <v>46350</v>
      </c>
      <c r="G294" s="6">
        <v>16</v>
      </c>
      <c r="H294" s="5">
        <v>102500</v>
      </c>
      <c r="I294" s="4">
        <f>G294*H294</f>
        <v>1640000</v>
      </c>
      <c r="J294" s="7"/>
      <c r="K294" s="7"/>
      <c r="L294" s="3">
        <v>0</v>
      </c>
      <c r="M294" s="5">
        <v>0</v>
      </c>
      <c r="N294" s="5">
        <v>0</v>
      </c>
      <c r="O294" s="5">
        <v>0</v>
      </c>
      <c r="P294" s="2">
        <f>I294+L294+M294+N294+O294</f>
        <v>1640000</v>
      </c>
      <c r="Q294" s="1">
        <v>0</v>
      </c>
      <c r="R294" s="1">
        <f>P294-Q294</f>
        <v>1640000</v>
      </c>
    </row>
    <row r="295" spans="1:18" ht="24" x14ac:dyDescent="0.25">
      <c r="A295" s="16" t="s">
        <v>530</v>
      </c>
      <c r="B295" s="16" t="s">
        <v>531</v>
      </c>
      <c r="C295" s="17" t="s">
        <v>27</v>
      </c>
      <c r="D295" s="8"/>
      <c r="E295" s="8"/>
      <c r="F295" s="8"/>
      <c r="G295" s="8"/>
      <c r="H295" s="8"/>
      <c r="I295" s="4"/>
      <c r="J295" s="7"/>
      <c r="K295" s="7"/>
      <c r="L295" s="3"/>
      <c r="M295" s="5"/>
      <c r="N295" s="5"/>
      <c r="O295" s="5"/>
      <c r="P295" s="5"/>
      <c r="Q295" s="1"/>
      <c r="R295" s="1"/>
    </row>
    <row r="296" spans="1:18" ht="24" x14ac:dyDescent="0.25">
      <c r="A296" s="16" t="s">
        <v>532</v>
      </c>
      <c r="B296" s="16" t="s">
        <v>533</v>
      </c>
      <c r="C296" s="17" t="s">
        <v>27</v>
      </c>
      <c r="D296" s="8"/>
      <c r="E296" s="8"/>
      <c r="F296" s="8"/>
      <c r="G296" s="8"/>
      <c r="H296" s="8"/>
      <c r="I296" s="4"/>
      <c r="J296" s="7"/>
      <c r="K296" s="7"/>
      <c r="L296" s="3"/>
      <c r="M296" s="5"/>
      <c r="N296" s="5"/>
      <c r="O296" s="5"/>
      <c r="P296" s="5"/>
      <c r="Q296" s="1"/>
      <c r="R296" s="1"/>
    </row>
    <row r="297" spans="1:18" ht="24" x14ac:dyDescent="0.25">
      <c r="A297" s="16" t="s">
        <v>534</v>
      </c>
      <c r="B297" s="16" t="s">
        <v>535</v>
      </c>
      <c r="C297" s="17" t="s">
        <v>27</v>
      </c>
      <c r="D297" s="8"/>
      <c r="E297" s="8"/>
      <c r="F297" s="8"/>
      <c r="G297" s="8"/>
      <c r="H297" s="8"/>
      <c r="I297" s="4"/>
      <c r="J297" s="7"/>
      <c r="K297" s="7"/>
      <c r="L297" s="3"/>
      <c r="M297" s="5"/>
      <c r="N297" s="5"/>
      <c r="O297" s="5"/>
      <c r="P297" s="5"/>
      <c r="Q297" s="1"/>
      <c r="R297" s="1"/>
    </row>
    <row r="298" spans="1:18" ht="24" x14ac:dyDescent="0.25">
      <c r="A298" s="16" t="s">
        <v>536</v>
      </c>
      <c r="B298" s="16" t="s">
        <v>537</v>
      </c>
      <c r="C298" s="17" t="s">
        <v>27</v>
      </c>
      <c r="D298" s="8"/>
      <c r="E298" s="8"/>
      <c r="F298" s="8"/>
      <c r="G298" s="8"/>
      <c r="H298" s="8"/>
      <c r="I298" s="4"/>
      <c r="J298" s="7"/>
      <c r="K298" s="7"/>
      <c r="L298" s="3"/>
      <c r="M298" s="5"/>
      <c r="N298" s="5"/>
      <c r="O298" s="5"/>
      <c r="P298" s="5"/>
      <c r="Q298" s="1"/>
      <c r="R298" s="1"/>
    </row>
    <row r="299" spans="1:18" ht="15" customHeight="1" x14ac:dyDescent="0.25">
      <c r="A299" s="10" t="s">
        <v>538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9">
        <v>2460000</v>
      </c>
      <c r="Q299" s="9"/>
      <c r="R299" s="9"/>
    </row>
    <row r="300" spans="1:18" x14ac:dyDescent="0.25">
      <c r="A300" s="16" t="s">
        <v>539</v>
      </c>
      <c r="B300" s="16" t="s">
        <v>540</v>
      </c>
      <c r="C300" s="17" t="s">
        <v>27</v>
      </c>
      <c r="D300" s="8">
        <v>46351</v>
      </c>
      <c r="E300" s="7"/>
      <c r="F300" s="8">
        <v>46352</v>
      </c>
      <c r="G300" s="6">
        <v>24</v>
      </c>
      <c r="H300" s="5">
        <v>102500</v>
      </c>
      <c r="I300" s="4">
        <f>G300*H300</f>
        <v>2460000</v>
      </c>
      <c r="J300" s="7"/>
      <c r="K300" s="7"/>
      <c r="L300" s="3">
        <v>0</v>
      </c>
      <c r="M300" s="5">
        <v>0</v>
      </c>
      <c r="N300" s="5">
        <v>0</v>
      </c>
      <c r="O300" s="5">
        <v>0</v>
      </c>
      <c r="P300" s="2">
        <f>I300+L300+M300+N300+O300</f>
        <v>2460000</v>
      </c>
      <c r="Q300" s="1">
        <v>0</v>
      </c>
      <c r="R300" s="1">
        <f>P300-Q300</f>
        <v>2460000</v>
      </c>
    </row>
    <row r="301" spans="1:18" ht="24" x14ac:dyDescent="0.25">
      <c r="A301" s="16" t="s">
        <v>541</v>
      </c>
      <c r="B301" s="16" t="s">
        <v>542</v>
      </c>
      <c r="C301" s="17" t="s">
        <v>27</v>
      </c>
      <c r="D301" s="8"/>
      <c r="E301" s="8"/>
      <c r="F301" s="8"/>
      <c r="G301" s="8"/>
      <c r="H301" s="8"/>
      <c r="I301" s="4"/>
      <c r="J301" s="7"/>
      <c r="K301" s="7"/>
      <c r="L301" s="3"/>
      <c r="M301" s="5"/>
      <c r="N301" s="5"/>
      <c r="O301" s="5"/>
      <c r="P301" s="5"/>
      <c r="Q301" s="1"/>
      <c r="R301" s="1"/>
    </row>
    <row r="302" spans="1:18" ht="24" x14ac:dyDescent="0.25">
      <c r="A302" s="16" t="s">
        <v>543</v>
      </c>
      <c r="B302" s="16" t="s">
        <v>544</v>
      </c>
      <c r="C302" s="17" t="s">
        <v>27</v>
      </c>
      <c r="D302" s="8"/>
      <c r="E302" s="8"/>
      <c r="F302" s="8"/>
      <c r="G302" s="8"/>
      <c r="H302" s="8"/>
      <c r="I302" s="4"/>
      <c r="J302" s="7"/>
      <c r="K302" s="7"/>
      <c r="L302" s="3"/>
      <c r="M302" s="5"/>
      <c r="N302" s="5"/>
      <c r="O302" s="5"/>
      <c r="P302" s="5"/>
      <c r="Q302" s="1"/>
      <c r="R302" s="1"/>
    </row>
    <row r="303" spans="1:18" ht="24" x14ac:dyDescent="0.25">
      <c r="A303" s="16" t="s">
        <v>545</v>
      </c>
      <c r="B303" s="16" t="s">
        <v>546</v>
      </c>
      <c r="C303" s="17" t="s">
        <v>27</v>
      </c>
      <c r="D303" s="8"/>
      <c r="E303" s="8"/>
      <c r="F303" s="8"/>
      <c r="G303" s="8"/>
      <c r="H303" s="8"/>
      <c r="I303" s="4"/>
      <c r="J303" s="7"/>
      <c r="K303" s="7"/>
      <c r="L303" s="3"/>
      <c r="M303" s="5"/>
      <c r="N303" s="5"/>
      <c r="O303" s="5"/>
      <c r="P303" s="5"/>
      <c r="Q303" s="1"/>
      <c r="R303" s="1"/>
    </row>
    <row r="304" spans="1:18" ht="24" x14ac:dyDescent="0.25">
      <c r="A304" s="16" t="s">
        <v>547</v>
      </c>
      <c r="B304" s="16" t="s">
        <v>548</v>
      </c>
      <c r="C304" s="17" t="s">
        <v>27</v>
      </c>
      <c r="D304" s="8"/>
      <c r="E304" s="8"/>
      <c r="F304" s="8"/>
      <c r="G304" s="8"/>
      <c r="H304" s="8"/>
      <c r="I304" s="4"/>
      <c r="J304" s="7"/>
      <c r="K304" s="7"/>
      <c r="L304" s="3"/>
      <c r="M304" s="5"/>
      <c r="N304" s="5"/>
      <c r="O304" s="5"/>
      <c r="P304" s="5"/>
      <c r="Q304" s="1"/>
      <c r="R304" s="1"/>
    </row>
    <row r="305" spans="1:18" ht="15" customHeight="1" x14ac:dyDescent="0.25">
      <c r="A305" s="10" t="s">
        <v>549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9">
        <v>3690000</v>
      </c>
      <c r="Q305" s="9"/>
      <c r="R305" s="9"/>
    </row>
    <row r="306" spans="1:18" ht="24" x14ac:dyDescent="0.25">
      <c r="A306" s="16" t="s">
        <v>550</v>
      </c>
      <c r="B306" s="16" t="s">
        <v>551</v>
      </c>
      <c r="C306" s="17" t="s">
        <v>27</v>
      </c>
      <c r="D306" s="8">
        <v>46353</v>
      </c>
      <c r="E306" s="7"/>
      <c r="F306" s="8">
        <v>46356</v>
      </c>
      <c r="G306" s="6">
        <v>36</v>
      </c>
      <c r="H306" s="5">
        <v>102500</v>
      </c>
      <c r="I306" s="4">
        <f>G306*H306</f>
        <v>3690000</v>
      </c>
      <c r="J306" s="7"/>
      <c r="K306" s="7"/>
      <c r="L306" s="3">
        <v>0</v>
      </c>
      <c r="M306" s="5">
        <v>0</v>
      </c>
      <c r="N306" s="5">
        <v>0</v>
      </c>
      <c r="O306" s="5">
        <v>0</v>
      </c>
      <c r="P306" s="2">
        <f>I306+L306+M306+N306+O306</f>
        <v>3690000</v>
      </c>
      <c r="Q306" s="1">
        <v>0</v>
      </c>
      <c r="R306" s="1">
        <f>P306-Q306</f>
        <v>3690000</v>
      </c>
    </row>
    <row r="307" spans="1:18" ht="24" x14ac:dyDescent="0.25">
      <c r="A307" s="16" t="s">
        <v>552</v>
      </c>
      <c r="B307" s="16" t="s">
        <v>553</v>
      </c>
      <c r="C307" s="17" t="s">
        <v>27</v>
      </c>
      <c r="D307" s="8"/>
      <c r="E307" s="8"/>
      <c r="F307" s="8"/>
      <c r="G307" s="8"/>
      <c r="H307" s="8"/>
      <c r="I307" s="4"/>
      <c r="J307" s="7"/>
      <c r="K307" s="7"/>
      <c r="L307" s="3"/>
      <c r="M307" s="5"/>
      <c r="N307" s="5"/>
      <c r="O307" s="5"/>
      <c r="P307" s="5"/>
      <c r="Q307" s="1"/>
      <c r="R307" s="1"/>
    </row>
    <row r="308" spans="1:18" x14ac:dyDescent="0.25">
      <c r="A308" s="16" t="s">
        <v>554</v>
      </c>
      <c r="B308" s="16" t="s">
        <v>555</v>
      </c>
      <c r="C308" s="17" t="s">
        <v>27</v>
      </c>
      <c r="D308" s="8"/>
      <c r="E308" s="8"/>
      <c r="F308" s="8"/>
      <c r="G308" s="8"/>
      <c r="H308" s="8"/>
      <c r="I308" s="4"/>
      <c r="J308" s="7"/>
      <c r="K308" s="7"/>
      <c r="L308" s="3"/>
      <c r="M308" s="5"/>
      <c r="N308" s="5"/>
      <c r="O308" s="5"/>
      <c r="P308" s="5"/>
      <c r="Q308" s="1"/>
      <c r="R308" s="1"/>
    </row>
    <row r="309" spans="1:18" ht="24" x14ac:dyDescent="0.25">
      <c r="A309" s="16" t="s">
        <v>556</v>
      </c>
      <c r="B309" s="16" t="s">
        <v>557</v>
      </c>
      <c r="C309" s="17" t="s">
        <v>27</v>
      </c>
      <c r="D309" s="8"/>
      <c r="E309" s="8"/>
      <c r="F309" s="8"/>
      <c r="G309" s="8"/>
      <c r="H309" s="8"/>
      <c r="I309" s="4"/>
      <c r="J309" s="7"/>
      <c r="K309" s="7"/>
      <c r="L309" s="3"/>
      <c r="M309" s="5"/>
      <c r="N309" s="5"/>
      <c r="O309" s="5"/>
      <c r="P309" s="5"/>
      <c r="Q309" s="1"/>
      <c r="R309" s="1"/>
    </row>
    <row r="310" spans="1:18" ht="36" x14ac:dyDescent="0.25">
      <c r="A310" s="16" t="s">
        <v>558</v>
      </c>
      <c r="B310" s="16" t="s">
        <v>559</v>
      </c>
      <c r="C310" s="17" t="s">
        <v>27</v>
      </c>
      <c r="D310" s="8"/>
      <c r="E310" s="8"/>
      <c r="F310" s="8"/>
      <c r="G310" s="8"/>
      <c r="H310" s="8"/>
      <c r="I310" s="4"/>
      <c r="J310" s="7"/>
      <c r="K310" s="7"/>
      <c r="L310" s="3"/>
      <c r="M310" s="5"/>
      <c r="N310" s="5"/>
      <c r="O310" s="5"/>
      <c r="P310" s="5"/>
      <c r="Q310" s="1"/>
      <c r="R310" s="1"/>
    </row>
    <row r="311" spans="1:18" ht="15" customHeight="1" x14ac:dyDescent="0.25">
      <c r="A311" s="10" t="s">
        <v>560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9">
        <v>820000</v>
      </c>
      <c r="Q311" s="9"/>
      <c r="R311" s="9"/>
    </row>
    <row r="312" spans="1:18" ht="24" x14ac:dyDescent="0.25">
      <c r="A312" s="16" t="s">
        <v>561</v>
      </c>
      <c r="B312" s="16" t="s">
        <v>562</v>
      </c>
      <c r="C312" s="17" t="s">
        <v>27</v>
      </c>
      <c r="D312" s="8">
        <v>46357</v>
      </c>
      <c r="E312" s="7"/>
      <c r="F312" s="8">
        <v>46357</v>
      </c>
      <c r="G312" s="6">
        <v>8</v>
      </c>
      <c r="H312" s="5">
        <v>102500</v>
      </c>
      <c r="I312" s="4">
        <f>G312*H312</f>
        <v>820000</v>
      </c>
      <c r="J312" s="7"/>
      <c r="K312" s="7"/>
      <c r="L312" s="3">
        <v>0</v>
      </c>
      <c r="M312" s="5">
        <v>0</v>
      </c>
      <c r="N312" s="5">
        <v>0</v>
      </c>
      <c r="O312" s="5">
        <v>0</v>
      </c>
      <c r="P312" s="2">
        <f>I312+L312+M312+N312+O312</f>
        <v>820000</v>
      </c>
      <c r="Q312" s="1">
        <v>0</v>
      </c>
      <c r="R312" s="1">
        <f>P312-Q312</f>
        <v>820000</v>
      </c>
    </row>
    <row r="313" spans="1:18" x14ac:dyDescent="0.25">
      <c r="A313" s="16" t="s">
        <v>563</v>
      </c>
      <c r="B313" s="16" t="s">
        <v>564</v>
      </c>
      <c r="C313" s="17" t="s">
        <v>27</v>
      </c>
      <c r="D313" s="8"/>
      <c r="E313" s="8"/>
      <c r="F313" s="8"/>
      <c r="G313" s="8"/>
      <c r="H313" s="8"/>
      <c r="I313" s="4"/>
      <c r="J313" s="7"/>
      <c r="K313" s="7"/>
      <c r="L313" s="3"/>
      <c r="M313" s="5"/>
      <c r="N313" s="5"/>
      <c r="O313" s="5"/>
      <c r="P313" s="5"/>
      <c r="Q313" s="1"/>
      <c r="R313" s="1"/>
    </row>
    <row r="314" spans="1:18" x14ac:dyDescent="0.25">
      <c r="A314" s="16" t="s">
        <v>565</v>
      </c>
      <c r="B314" s="16" t="s">
        <v>566</v>
      </c>
      <c r="C314" s="17" t="s">
        <v>27</v>
      </c>
      <c r="D314" s="8"/>
      <c r="E314" s="8"/>
      <c r="F314" s="8"/>
      <c r="G314" s="8"/>
      <c r="H314" s="8"/>
      <c r="I314" s="4"/>
      <c r="J314" s="7"/>
      <c r="K314" s="7"/>
      <c r="L314" s="3"/>
      <c r="M314" s="5"/>
      <c r="N314" s="5"/>
      <c r="O314" s="5"/>
      <c r="P314" s="5"/>
      <c r="Q314" s="1"/>
      <c r="R314" s="1"/>
    </row>
    <row r="315" spans="1:18" ht="24" x14ac:dyDescent="0.25">
      <c r="A315" s="16" t="s">
        <v>567</v>
      </c>
      <c r="B315" s="16" t="s">
        <v>568</v>
      </c>
      <c r="C315" s="17" t="s">
        <v>27</v>
      </c>
      <c r="D315" s="8"/>
      <c r="E315" s="8"/>
      <c r="F315" s="8"/>
      <c r="G315" s="8"/>
      <c r="H315" s="8"/>
      <c r="I315" s="4"/>
      <c r="J315" s="7"/>
      <c r="K315" s="7"/>
      <c r="L315" s="3"/>
      <c r="M315" s="5"/>
      <c r="N315" s="5"/>
      <c r="O315" s="5"/>
      <c r="P315" s="5"/>
      <c r="Q315" s="1"/>
      <c r="R315" s="1"/>
    </row>
    <row r="316" spans="1:18" ht="24" x14ac:dyDescent="0.25">
      <c r="A316" s="16" t="s">
        <v>569</v>
      </c>
      <c r="B316" s="16" t="s">
        <v>570</v>
      </c>
      <c r="C316" s="17" t="s">
        <v>27</v>
      </c>
      <c r="D316" s="8"/>
      <c r="E316" s="8"/>
      <c r="F316" s="8"/>
      <c r="G316" s="8"/>
      <c r="H316" s="8"/>
      <c r="I316" s="4"/>
      <c r="J316" s="7"/>
      <c r="K316" s="7"/>
      <c r="L316" s="3"/>
      <c r="M316" s="5"/>
      <c r="N316" s="5"/>
      <c r="O316" s="5"/>
      <c r="P316" s="5"/>
      <c r="Q316" s="1"/>
      <c r="R316" s="1"/>
    </row>
    <row r="317" spans="1:18" ht="15" customHeight="1" x14ac:dyDescent="0.25">
      <c r="A317" s="10" t="s">
        <v>571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9">
        <v>1640000</v>
      </c>
      <c r="Q317" s="9"/>
      <c r="R317" s="9"/>
    </row>
    <row r="318" spans="1:18" ht="24" x14ac:dyDescent="0.25">
      <c r="A318" s="16" t="s">
        <v>572</v>
      </c>
      <c r="B318" s="16" t="s">
        <v>573</v>
      </c>
      <c r="C318" s="17" t="s">
        <v>27</v>
      </c>
      <c r="D318" s="8">
        <v>46358</v>
      </c>
      <c r="E318" s="7"/>
      <c r="F318" s="8">
        <v>46358</v>
      </c>
      <c r="G318" s="6">
        <v>16</v>
      </c>
      <c r="H318" s="5">
        <v>102500</v>
      </c>
      <c r="I318" s="4">
        <f>G318*H318</f>
        <v>1640000</v>
      </c>
      <c r="J318" s="7"/>
      <c r="K318" s="7"/>
      <c r="L318" s="3">
        <v>0</v>
      </c>
      <c r="M318" s="5">
        <v>0</v>
      </c>
      <c r="N318" s="5">
        <v>0</v>
      </c>
      <c r="O318" s="5">
        <v>0</v>
      </c>
      <c r="P318" s="2">
        <f>I318+L318+M318+N318+O318</f>
        <v>1640000</v>
      </c>
      <c r="Q318" s="1">
        <v>0</v>
      </c>
      <c r="R318" s="1">
        <f>P318-Q318</f>
        <v>1640000</v>
      </c>
    </row>
    <row r="319" spans="1:18" ht="24" x14ac:dyDescent="0.25">
      <c r="A319" s="16" t="s">
        <v>574</v>
      </c>
      <c r="B319" s="16" t="s">
        <v>575</v>
      </c>
      <c r="C319" s="17" t="s">
        <v>27</v>
      </c>
      <c r="D319" s="8"/>
      <c r="E319" s="8"/>
      <c r="F319" s="8"/>
      <c r="G319" s="8"/>
      <c r="H319" s="8"/>
      <c r="I319" s="4"/>
      <c r="J319" s="7"/>
      <c r="K319" s="7"/>
      <c r="L319" s="3"/>
      <c r="M319" s="5"/>
      <c r="N319" s="5"/>
      <c r="O319" s="5"/>
      <c r="P319" s="5"/>
      <c r="Q319" s="1"/>
      <c r="R319" s="1"/>
    </row>
    <row r="320" spans="1:18" ht="24" x14ac:dyDescent="0.25">
      <c r="A320" s="16" t="s">
        <v>576</v>
      </c>
      <c r="B320" s="16" t="s">
        <v>577</v>
      </c>
      <c r="C320" s="17" t="s">
        <v>27</v>
      </c>
      <c r="D320" s="8"/>
      <c r="E320" s="8"/>
      <c r="F320" s="8"/>
      <c r="G320" s="8"/>
      <c r="H320" s="8"/>
      <c r="I320" s="4"/>
      <c r="J320" s="7"/>
      <c r="K320" s="7"/>
      <c r="L320" s="3"/>
      <c r="M320" s="5"/>
      <c r="N320" s="5"/>
      <c r="O320" s="5"/>
      <c r="P320" s="5"/>
      <c r="Q320" s="1"/>
      <c r="R320" s="1"/>
    </row>
    <row r="321" spans="1:18" ht="24" x14ac:dyDescent="0.25">
      <c r="A321" s="16" t="s">
        <v>578</v>
      </c>
      <c r="B321" s="16" t="s">
        <v>579</v>
      </c>
      <c r="C321" s="17" t="s">
        <v>27</v>
      </c>
      <c r="D321" s="8"/>
      <c r="E321" s="8"/>
      <c r="F321" s="8"/>
      <c r="G321" s="8"/>
      <c r="H321" s="8"/>
      <c r="I321" s="4"/>
      <c r="J321" s="7"/>
      <c r="K321" s="7"/>
      <c r="L321" s="3"/>
      <c r="M321" s="5"/>
      <c r="N321" s="5"/>
      <c r="O321" s="5"/>
      <c r="P321" s="5"/>
      <c r="Q321" s="1"/>
      <c r="R321" s="1"/>
    </row>
    <row r="322" spans="1:18" ht="24" x14ac:dyDescent="0.25">
      <c r="A322" s="16" t="s">
        <v>580</v>
      </c>
      <c r="B322" s="16" t="s">
        <v>581</v>
      </c>
      <c r="C322" s="17" t="s">
        <v>27</v>
      </c>
      <c r="D322" s="8"/>
      <c r="E322" s="8"/>
      <c r="F322" s="8"/>
      <c r="G322" s="8"/>
      <c r="H322" s="8"/>
      <c r="I322" s="4"/>
      <c r="J322" s="7"/>
      <c r="K322" s="7"/>
      <c r="L322" s="3"/>
      <c r="M322" s="5"/>
      <c r="N322" s="5"/>
      <c r="O322" s="5"/>
      <c r="P322" s="5"/>
      <c r="Q322" s="1"/>
      <c r="R322" s="1"/>
    </row>
    <row r="323" spans="1:18" ht="15" customHeight="1" x14ac:dyDescent="0.25">
      <c r="A323" s="10" t="s">
        <v>582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9">
        <v>820000</v>
      </c>
      <c r="Q323" s="9"/>
      <c r="R323" s="9"/>
    </row>
    <row r="324" spans="1:18" ht="24" x14ac:dyDescent="0.25">
      <c r="A324" s="16" t="s">
        <v>583</v>
      </c>
      <c r="B324" s="16" t="s">
        <v>584</v>
      </c>
      <c r="C324" s="17" t="s">
        <v>27</v>
      </c>
      <c r="D324" s="8">
        <v>46359</v>
      </c>
      <c r="E324" s="7"/>
      <c r="F324" s="8">
        <v>46359</v>
      </c>
      <c r="G324" s="6">
        <v>8</v>
      </c>
      <c r="H324" s="5">
        <v>102500</v>
      </c>
      <c r="I324" s="4">
        <f>G324*H324</f>
        <v>820000</v>
      </c>
      <c r="J324" s="7"/>
      <c r="K324" s="7"/>
      <c r="L324" s="3">
        <v>0</v>
      </c>
      <c r="M324" s="5">
        <v>0</v>
      </c>
      <c r="N324" s="5">
        <v>0</v>
      </c>
      <c r="O324" s="5">
        <v>0</v>
      </c>
      <c r="P324" s="2">
        <f>I324+L324+M324+N324+O324</f>
        <v>820000</v>
      </c>
      <c r="Q324" s="1">
        <v>0</v>
      </c>
      <c r="R324" s="1">
        <f>P324-Q324</f>
        <v>820000</v>
      </c>
    </row>
    <row r="325" spans="1:18" ht="24" x14ac:dyDescent="0.25">
      <c r="A325" s="16" t="s">
        <v>585</v>
      </c>
      <c r="B325" s="16" t="s">
        <v>586</v>
      </c>
      <c r="C325" s="17" t="s">
        <v>27</v>
      </c>
      <c r="D325" s="8"/>
      <c r="E325" s="8"/>
      <c r="F325" s="8"/>
      <c r="G325" s="8"/>
      <c r="H325" s="8"/>
      <c r="I325" s="4"/>
      <c r="J325" s="7"/>
      <c r="K325" s="7"/>
      <c r="L325" s="3"/>
      <c r="M325" s="5"/>
      <c r="N325" s="5"/>
      <c r="O325" s="5"/>
      <c r="P325" s="5"/>
      <c r="Q325" s="1"/>
      <c r="R325" s="1"/>
    </row>
    <row r="326" spans="1:18" x14ac:dyDescent="0.25">
      <c r="A326" s="16" t="s">
        <v>587</v>
      </c>
      <c r="B326" s="16" t="s">
        <v>588</v>
      </c>
      <c r="C326" s="17" t="s">
        <v>27</v>
      </c>
      <c r="D326" s="8"/>
      <c r="E326" s="8"/>
      <c r="F326" s="8"/>
      <c r="G326" s="8"/>
      <c r="H326" s="8"/>
      <c r="I326" s="4"/>
      <c r="J326" s="7"/>
      <c r="K326" s="7"/>
      <c r="L326" s="3"/>
      <c r="M326" s="5"/>
      <c r="N326" s="5"/>
      <c r="O326" s="5"/>
      <c r="P326" s="5"/>
      <c r="Q326" s="1"/>
      <c r="R326" s="1"/>
    </row>
    <row r="327" spans="1:18" ht="36" x14ac:dyDescent="0.25">
      <c r="A327" s="16" t="s">
        <v>589</v>
      </c>
      <c r="B327" s="16" t="s">
        <v>590</v>
      </c>
      <c r="C327" s="17" t="s">
        <v>27</v>
      </c>
      <c r="D327" s="8"/>
      <c r="E327" s="8"/>
      <c r="F327" s="8"/>
      <c r="G327" s="8"/>
      <c r="H327" s="8"/>
      <c r="I327" s="4"/>
      <c r="J327" s="7"/>
      <c r="K327" s="7"/>
      <c r="L327" s="3"/>
      <c r="M327" s="5"/>
      <c r="N327" s="5"/>
      <c r="O327" s="5"/>
      <c r="P327" s="5"/>
      <c r="Q327" s="1"/>
      <c r="R327" s="1"/>
    </row>
    <row r="328" spans="1:18" ht="24" x14ac:dyDescent="0.25">
      <c r="A328" s="16" t="s">
        <v>591</v>
      </c>
      <c r="B328" s="16" t="s">
        <v>592</v>
      </c>
      <c r="C328" s="17" t="s">
        <v>27</v>
      </c>
      <c r="D328" s="8"/>
      <c r="E328" s="8"/>
      <c r="F328" s="8"/>
      <c r="G328" s="8"/>
      <c r="H328" s="8"/>
      <c r="I328" s="4"/>
      <c r="J328" s="7"/>
      <c r="K328" s="7"/>
      <c r="L328" s="3"/>
      <c r="M328" s="5"/>
      <c r="N328" s="5"/>
      <c r="O328" s="5"/>
      <c r="P328" s="5"/>
      <c r="Q328" s="1"/>
      <c r="R328" s="1"/>
    </row>
    <row r="329" spans="1:18" ht="15" customHeight="1" x14ac:dyDescent="0.25">
      <c r="A329" s="10" t="s">
        <v>593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9">
        <v>820000</v>
      </c>
      <c r="Q329" s="9"/>
      <c r="R329" s="9"/>
    </row>
    <row r="330" spans="1:18" x14ac:dyDescent="0.25">
      <c r="A330" s="16" t="s">
        <v>594</v>
      </c>
      <c r="B330" s="16" t="s">
        <v>595</v>
      </c>
      <c r="C330" s="17" t="s">
        <v>27</v>
      </c>
      <c r="D330" s="8">
        <v>46360</v>
      </c>
      <c r="E330" s="7"/>
      <c r="F330" s="8">
        <v>46360</v>
      </c>
      <c r="G330" s="6">
        <v>8</v>
      </c>
      <c r="H330" s="5">
        <v>102500</v>
      </c>
      <c r="I330" s="4">
        <f>G330*H330</f>
        <v>820000</v>
      </c>
      <c r="J330" s="7"/>
      <c r="K330" s="7"/>
      <c r="L330" s="3">
        <v>0</v>
      </c>
      <c r="M330" s="5">
        <v>0</v>
      </c>
      <c r="N330" s="5">
        <v>0</v>
      </c>
      <c r="O330" s="5">
        <v>0</v>
      </c>
      <c r="P330" s="2">
        <f>I330+L330+M330+N330+O330</f>
        <v>820000</v>
      </c>
      <c r="Q330" s="1">
        <v>0</v>
      </c>
      <c r="R330" s="1">
        <f>P330-Q330</f>
        <v>820000</v>
      </c>
    </row>
    <row r="331" spans="1:18" ht="24" x14ac:dyDescent="0.25">
      <c r="A331" s="16" t="s">
        <v>596</v>
      </c>
      <c r="B331" s="16" t="s">
        <v>597</v>
      </c>
      <c r="C331" s="17" t="s">
        <v>27</v>
      </c>
      <c r="D331" s="8"/>
      <c r="E331" s="8"/>
      <c r="F331" s="8"/>
      <c r="G331" s="8"/>
      <c r="H331" s="8"/>
      <c r="I331" s="4"/>
      <c r="J331" s="7"/>
      <c r="K331" s="7"/>
      <c r="L331" s="3"/>
      <c r="M331" s="5"/>
      <c r="N331" s="5"/>
      <c r="O331" s="5"/>
      <c r="P331" s="5"/>
      <c r="Q331" s="1"/>
      <c r="R331" s="1"/>
    </row>
    <row r="332" spans="1:18" ht="24" x14ac:dyDescent="0.25">
      <c r="A332" s="16" t="s">
        <v>598</v>
      </c>
      <c r="B332" s="16" t="s">
        <v>599</v>
      </c>
      <c r="C332" s="17" t="s">
        <v>27</v>
      </c>
      <c r="D332" s="8"/>
      <c r="E332" s="8"/>
      <c r="F332" s="8"/>
      <c r="G332" s="8"/>
      <c r="H332" s="8"/>
      <c r="I332" s="4"/>
      <c r="J332" s="7"/>
      <c r="K332" s="7"/>
      <c r="L332" s="3"/>
      <c r="M332" s="5"/>
      <c r="N332" s="5"/>
      <c r="O332" s="5"/>
      <c r="P332" s="5"/>
      <c r="Q332" s="1"/>
      <c r="R332" s="1"/>
    </row>
    <row r="333" spans="1:18" ht="24" x14ac:dyDescent="0.25">
      <c r="A333" s="16" t="s">
        <v>600</v>
      </c>
      <c r="B333" s="16" t="s">
        <v>601</v>
      </c>
      <c r="C333" s="17" t="s">
        <v>27</v>
      </c>
      <c r="D333" s="8"/>
      <c r="E333" s="8"/>
      <c r="F333" s="8"/>
      <c r="G333" s="8"/>
      <c r="H333" s="8"/>
      <c r="I333" s="4"/>
      <c r="J333" s="7"/>
      <c r="K333" s="7"/>
      <c r="L333" s="3"/>
      <c r="M333" s="5"/>
      <c r="N333" s="5"/>
      <c r="O333" s="5"/>
      <c r="P333" s="5"/>
      <c r="Q333" s="1"/>
      <c r="R333" s="1"/>
    </row>
    <row r="334" spans="1:18" ht="24" x14ac:dyDescent="0.25">
      <c r="A334" s="16" t="s">
        <v>602</v>
      </c>
      <c r="B334" s="16" t="s">
        <v>603</v>
      </c>
      <c r="C334" s="17" t="s">
        <v>27</v>
      </c>
      <c r="D334" s="8"/>
      <c r="E334" s="8"/>
      <c r="F334" s="8"/>
      <c r="G334" s="8"/>
      <c r="H334" s="8"/>
      <c r="I334" s="4"/>
      <c r="J334" s="7"/>
      <c r="K334" s="7"/>
      <c r="L334" s="3"/>
      <c r="M334" s="5"/>
      <c r="N334" s="5"/>
      <c r="O334" s="5"/>
      <c r="P334" s="5"/>
      <c r="Q334" s="1"/>
      <c r="R334" s="1"/>
    </row>
    <row r="335" spans="1:18" ht="15" customHeight="1" x14ac:dyDescent="0.25">
      <c r="A335" s="10" t="s">
        <v>604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9">
        <v>820000</v>
      </c>
      <c r="Q335" s="9"/>
      <c r="R335" s="9"/>
    </row>
    <row r="336" spans="1:18" ht="24" x14ac:dyDescent="0.25">
      <c r="A336" s="16" t="s">
        <v>605</v>
      </c>
      <c r="B336" s="16" t="s">
        <v>606</v>
      </c>
      <c r="C336" s="17" t="s">
        <v>27</v>
      </c>
      <c r="D336" s="8">
        <v>46363</v>
      </c>
      <c r="E336" s="7"/>
      <c r="F336" s="8">
        <v>46363</v>
      </c>
      <c r="G336" s="6">
        <v>8</v>
      </c>
      <c r="H336" s="5">
        <v>102500</v>
      </c>
      <c r="I336" s="4">
        <f>G336*H336</f>
        <v>820000</v>
      </c>
      <c r="J336" s="7"/>
      <c r="K336" s="7"/>
      <c r="L336" s="3">
        <v>0</v>
      </c>
      <c r="M336" s="5">
        <v>0</v>
      </c>
      <c r="N336" s="5">
        <v>0</v>
      </c>
      <c r="O336" s="5">
        <v>0</v>
      </c>
      <c r="P336" s="2">
        <f>I336+L336+M336+N336+O336</f>
        <v>820000</v>
      </c>
      <c r="Q336" s="1">
        <v>0</v>
      </c>
      <c r="R336" s="1">
        <f>P336-Q336</f>
        <v>820000</v>
      </c>
    </row>
    <row r="337" spans="1:18" ht="24" x14ac:dyDescent="0.25">
      <c r="A337" s="16" t="s">
        <v>607</v>
      </c>
      <c r="B337" s="16" t="s">
        <v>608</v>
      </c>
      <c r="C337" s="17" t="s">
        <v>27</v>
      </c>
      <c r="D337" s="8"/>
      <c r="E337" s="8"/>
      <c r="F337" s="8"/>
      <c r="G337" s="8"/>
      <c r="H337" s="8"/>
      <c r="I337" s="4"/>
      <c r="J337" s="7"/>
      <c r="K337" s="7"/>
      <c r="L337" s="3"/>
      <c r="M337" s="5"/>
      <c r="N337" s="5"/>
      <c r="O337" s="5"/>
      <c r="P337" s="5"/>
      <c r="Q337" s="1"/>
      <c r="R337" s="1"/>
    </row>
    <row r="338" spans="1:18" ht="24" x14ac:dyDescent="0.25">
      <c r="A338" s="16" t="s">
        <v>609</v>
      </c>
      <c r="B338" s="16" t="s">
        <v>610</v>
      </c>
      <c r="C338" s="17" t="s">
        <v>27</v>
      </c>
      <c r="D338" s="8"/>
      <c r="E338" s="8"/>
      <c r="F338" s="8"/>
      <c r="G338" s="8"/>
      <c r="H338" s="8"/>
      <c r="I338" s="4"/>
      <c r="J338" s="7"/>
      <c r="K338" s="7"/>
      <c r="L338" s="3"/>
      <c r="M338" s="5"/>
      <c r="N338" s="5"/>
      <c r="O338" s="5"/>
      <c r="P338" s="5"/>
      <c r="Q338" s="1"/>
      <c r="R338" s="1"/>
    </row>
    <row r="339" spans="1:18" ht="24" x14ac:dyDescent="0.25">
      <c r="A339" s="16" t="s">
        <v>611</v>
      </c>
      <c r="B339" s="16" t="s">
        <v>612</v>
      </c>
      <c r="C339" s="17" t="s">
        <v>27</v>
      </c>
      <c r="D339" s="8"/>
      <c r="E339" s="8"/>
      <c r="F339" s="8"/>
      <c r="G339" s="8"/>
      <c r="H339" s="8"/>
      <c r="I339" s="4"/>
      <c r="J339" s="7"/>
      <c r="K339" s="7"/>
      <c r="L339" s="3"/>
      <c r="M339" s="5"/>
      <c r="N339" s="5"/>
      <c r="O339" s="5"/>
      <c r="P339" s="5"/>
      <c r="Q339" s="1"/>
      <c r="R339" s="1"/>
    </row>
    <row r="340" spans="1:18" ht="24" x14ac:dyDescent="0.25">
      <c r="A340" s="16" t="s">
        <v>613</v>
      </c>
      <c r="B340" s="16" t="s">
        <v>614</v>
      </c>
      <c r="C340" s="17" t="s">
        <v>27</v>
      </c>
      <c r="D340" s="8"/>
      <c r="E340" s="8"/>
      <c r="F340" s="8"/>
      <c r="G340" s="8"/>
      <c r="H340" s="8"/>
      <c r="I340" s="4"/>
      <c r="J340" s="7"/>
      <c r="K340" s="7"/>
      <c r="L340" s="3"/>
      <c r="M340" s="5"/>
      <c r="N340" s="5"/>
      <c r="O340" s="5"/>
      <c r="P340" s="5"/>
      <c r="Q340" s="1"/>
      <c r="R340" s="1"/>
    </row>
    <row r="341" spans="1:18" ht="15" customHeight="1" x14ac:dyDescent="0.25">
      <c r="A341" s="10" t="s">
        <v>615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9">
        <v>8200000</v>
      </c>
      <c r="Q341" s="9"/>
      <c r="R341" s="9"/>
    </row>
    <row r="342" spans="1:18" ht="24" x14ac:dyDescent="0.25">
      <c r="A342" s="16" t="s">
        <v>616</v>
      </c>
      <c r="B342" s="16" t="s">
        <v>617</v>
      </c>
      <c r="C342" s="17" t="s">
        <v>27</v>
      </c>
      <c r="D342" s="8">
        <v>46364</v>
      </c>
      <c r="E342" s="7"/>
      <c r="F342" s="8">
        <v>46367</v>
      </c>
      <c r="G342" s="6">
        <v>80</v>
      </c>
      <c r="H342" s="5">
        <v>102500</v>
      </c>
      <c r="I342" s="4">
        <f>G342*H342</f>
        <v>8200000</v>
      </c>
      <c r="J342" s="7"/>
      <c r="K342" s="7"/>
      <c r="L342" s="3">
        <v>0</v>
      </c>
      <c r="M342" s="5">
        <v>0</v>
      </c>
      <c r="N342" s="5">
        <v>0</v>
      </c>
      <c r="O342" s="5">
        <v>0</v>
      </c>
      <c r="P342" s="2">
        <f>I342+L342+M342+N342+O342</f>
        <v>8200000</v>
      </c>
      <c r="Q342" s="1">
        <v>0</v>
      </c>
      <c r="R342" s="1">
        <f>P342-Q342</f>
        <v>8200000</v>
      </c>
    </row>
    <row r="343" spans="1:18" x14ac:dyDescent="0.25">
      <c r="A343" s="16" t="s">
        <v>618</v>
      </c>
      <c r="B343" s="16" t="s">
        <v>619</v>
      </c>
      <c r="C343" s="17" t="s">
        <v>27</v>
      </c>
      <c r="D343" s="8"/>
      <c r="E343" s="8"/>
      <c r="F343" s="8"/>
      <c r="G343" s="8"/>
      <c r="H343" s="8"/>
      <c r="I343" s="4"/>
      <c r="J343" s="7"/>
      <c r="K343" s="7"/>
      <c r="L343" s="3"/>
      <c r="M343" s="5"/>
      <c r="N343" s="5"/>
      <c r="O343" s="5"/>
      <c r="P343" s="5"/>
      <c r="Q343" s="1"/>
      <c r="R343" s="1"/>
    </row>
    <row r="344" spans="1:18" ht="24" x14ac:dyDescent="0.25">
      <c r="A344" s="16" t="s">
        <v>620</v>
      </c>
      <c r="B344" s="16" t="s">
        <v>621</v>
      </c>
      <c r="C344" s="17" t="s">
        <v>27</v>
      </c>
      <c r="D344" s="8"/>
      <c r="E344" s="8"/>
      <c r="F344" s="8"/>
      <c r="G344" s="8"/>
      <c r="H344" s="8"/>
      <c r="I344" s="4"/>
      <c r="J344" s="7"/>
      <c r="K344" s="7"/>
      <c r="L344" s="3"/>
      <c r="M344" s="5"/>
      <c r="N344" s="5"/>
      <c r="O344" s="5"/>
      <c r="P344" s="5"/>
      <c r="Q344" s="1"/>
      <c r="R344" s="1"/>
    </row>
    <row r="345" spans="1:18" ht="24" x14ac:dyDescent="0.25">
      <c r="A345" s="16" t="s">
        <v>622</v>
      </c>
      <c r="B345" s="16" t="s">
        <v>623</v>
      </c>
      <c r="C345" s="17" t="s">
        <v>27</v>
      </c>
      <c r="D345" s="8"/>
      <c r="E345" s="8"/>
      <c r="F345" s="8"/>
      <c r="G345" s="8"/>
      <c r="H345" s="8"/>
      <c r="I345" s="4"/>
      <c r="J345" s="7"/>
      <c r="K345" s="7"/>
      <c r="L345" s="3"/>
      <c r="M345" s="5"/>
      <c r="N345" s="5"/>
      <c r="O345" s="5"/>
      <c r="P345" s="5"/>
      <c r="Q345" s="1"/>
      <c r="R345" s="1"/>
    </row>
    <row r="346" spans="1:18" ht="24" x14ac:dyDescent="0.25">
      <c r="A346" s="16" t="s">
        <v>624</v>
      </c>
      <c r="B346" s="16" t="s">
        <v>625</v>
      </c>
      <c r="C346" s="17" t="s">
        <v>27</v>
      </c>
      <c r="D346" s="8"/>
      <c r="E346" s="8"/>
      <c r="F346" s="8"/>
      <c r="G346" s="8"/>
      <c r="H346" s="8"/>
      <c r="I346" s="4"/>
      <c r="J346" s="7"/>
      <c r="K346" s="7"/>
      <c r="L346" s="3"/>
      <c r="M346" s="5"/>
      <c r="N346" s="5"/>
      <c r="O346" s="5"/>
      <c r="P346" s="5"/>
      <c r="Q346" s="1"/>
      <c r="R346" s="1"/>
    </row>
    <row r="347" spans="1:18" ht="15" customHeight="1" x14ac:dyDescent="0.25">
      <c r="A347" s="10" t="s">
        <v>626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9">
        <v>1640000</v>
      </c>
      <c r="Q347" s="9"/>
      <c r="R347" s="9"/>
    </row>
    <row r="348" spans="1:18" ht="24" x14ac:dyDescent="0.25">
      <c r="A348" s="16" t="s">
        <v>627</v>
      </c>
      <c r="B348" s="16" t="s">
        <v>628</v>
      </c>
      <c r="C348" s="17" t="s">
        <v>27</v>
      </c>
      <c r="D348" s="8">
        <v>46370</v>
      </c>
      <c r="E348" s="7"/>
      <c r="F348" s="8">
        <v>46370</v>
      </c>
      <c r="G348" s="6">
        <v>16</v>
      </c>
      <c r="H348" s="5">
        <v>102500</v>
      </c>
      <c r="I348" s="4">
        <f>G348*H348</f>
        <v>1640000</v>
      </c>
      <c r="J348" s="7"/>
      <c r="K348" s="7"/>
      <c r="L348" s="3">
        <v>0</v>
      </c>
      <c r="M348" s="5">
        <v>0</v>
      </c>
      <c r="N348" s="5">
        <v>0</v>
      </c>
      <c r="O348" s="5">
        <v>0</v>
      </c>
      <c r="P348" s="2">
        <f>I348+L348+M348+N348+O348</f>
        <v>1640000</v>
      </c>
      <c r="Q348" s="1">
        <v>0</v>
      </c>
      <c r="R348" s="1">
        <f>P348-Q348</f>
        <v>1640000</v>
      </c>
    </row>
    <row r="349" spans="1:18" ht="24" x14ac:dyDescent="0.25">
      <c r="A349" s="16" t="s">
        <v>629</v>
      </c>
      <c r="B349" s="16" t="s">
        <v>630</v>
      </c>
      <c r="C349" s="17" t="s">
        <v>27</v>
      </c>
      <c r="D349" s="8"/>
      <c r="E349" s="8"/>
      <c r="F349" s="8"/>
      <c r="G349" s="8"/>
      <c r="H349" s="8"/>
      <c r="I349" s="4"/>
      <c r="J349" s="7"/>
      <c r="K349" s="7"/>
      <c r="L349" s="3"/>
      <c r="M349" s="5"/>
      <c r="N349" s="5"/>
      <c r="O349" s="5"/>
      <c r="P349" s="5"/>
      <c r="Q349" s="1"/>
      <c r="R349" s="1"/>
    </row>
    <row r="350" spans="1:18" ht="24" x14ac:dyDescent="0.25">
      <c r="A350" s="16" t="s">
        <v>631</v>
      </c>
      <c r="B350" s="16" t="s">
        <v>632</v>
      </c>
      <c r="C350" s="17" t="s">
        <v>27</v>
      </c>
      <c r="D350" s="8"/>
      <c r="E350" s="8"/>
      <c r="F350" s="8"/>
      <c r="G350" s="8"/>
      <c r="H350" s="8"/>
      <c r="I350" s="4"/>
      <c r="J350" s="7"/>
      <c r="K350" s="7"/>
      <c r="L350" s="3"/>
      <c r="M350" s="5"/>
      <c r="N350" s="5"/>
      <c r="O350" s="5"/>
      <c r="P350" s="5"/>
      <c r="Q350" s="1"/>
      <c r="R350" s="1"/>
    </row>
    <row r="351" spans="1:18" x14ac:dyDescent="0.25">
      <c r="A351" s="16" t="s">
        <v>633</v>
      </c>
      <c r="B351" s="16" t="s">
        <v>634</v>
      </c>
      <c r="C351" s="17" t="s">
        <v>27</v>
      </c>
      <c r="D351" s="8"/>
      <c r="E351" s="8"/>
      <c r="F351" s="8"/>
      <c r="G351" s="8"/>
      <c r="H351" s="8"/>
      <c r="I351" s="4"/>
      <c r="J351" s="7"/>
      <c r="K351" s="7"/>
      <c r="L351" s="3"/>
      <c r="M351" s="5"/>
      <c r="N351" s="5"/>
      <c r="O351" s="5"/>
      <c r="P351" s="5"/>
      <c r="Q351" s="1"/>
      <c r="R351" s="1"/>
    </row>
    <row r="352" spans="1:18" ht="24" x14ac:dyDescent="0.25">
      <c r="A352" s="16" t="s">
        <v>635</v>
      </c>
      <c r="B352" s="16" t="s">
        <v>636</v>
      </c>
      <c r="C352" s="17" t="s">
        <v>27</v>
      </c>
      <c r="D352" s="8"/>
      <c r="E352" s="8"/>
      <c r="F352" s="8"/>
      <c r="G352" s="8"/>
      <c r="H352" s="8"/>
      <c r="I352" s="4"/>
      <c r="J352" s="7"/>
      <c r="K352" s="7"/>
      <c r="L352" s="3"/>
      <c r="M352" s="5"/>
      <c r="N352" s="5"/>
      <c r="O352" s="5"/>
      <c r="P352" s="5"/>
      <c r="Q352" s="1"/>
      <c r="R352" s="1"/>
    </row>
    <row r="353" spans="1:18" ht="15" customHeight="1" x14ac:dyDescent="0.25">
      <c r="A353" s="10" t="s">
        <v>637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9">
        <v>4100000</v>
      </c>
      <c r="Q353" s="9"/>
      <c r="R353" s="9"/>
    </row>
    <row r="354" spans="1:18" ht="24" x14ac:dyDescent="0.25">
      <c r="A354" s="16" t="s">
        <v>638</v>
      </c>
      <c r="B354" s="16" t="s">
        <v>639</v>
      </c>
      <c r="C354" s="17" t="s">
        <v>27</v>
      </c>
      <c r="D354" s="8">
        <v>46371</v>
      </c>
      <c r="E354" s="7"/>
      <c r="F354" s="8">
        <v>46372</v>
      </c>
      <c r="G354" s="6">
        <v>40</v>
      </c>
      <c r="H354" s="5">
        <v>102500</v>
      </c>
      <c r="I354" s="4">
        <f>G354*H354</f>
        <v>4100000</v>
      </c>
      <c r="J354" s="7"/>
      <c r="K354" s="7"/>
      <c r="L354" s="3">
        <v>0</v>
      </c>
      <c r="M354" s="5">
        <v>0</v>
      </c>
      <c r="N354" s="5">
        <v>0</v>
      </c>
      <c r="O354" s="5">
        <v>0</v>
      </c>
      <c r="P354" s="2">
        <f>I354+L354+M354+N354+O354</f>
        <v>4100000</v>
      </c>
      <c r="Q354" s="1">
        <v>0</v>
      </c>
      <c r="R354" s="1">
        <f>P354-Q354</f>
        <v>4100000</v>
      </c>
    </row>
    <row r="355" spans="1:18" ht="24" x14ac:dyDescent="0.25">
      <c r="A355" s="16" t="s">
        <v>640</v>
      </c>
      <c r="B355" s="16" t="s">
        <v>641</v>
      </c>
      <c r="C355" s="17" t="s">
        <v>27</v>
      </c>
      <c r="D355" s="8"/>
      <c r="E355" s="8"/>
      <c r="F355" s="8"/>
      <c r="G355" s="8"/>
      <c r="H355" s="8"/>
      <c r="I355" s="4"/>
      <c r="J355" s="7"/>
      <c r="K355" s="7"/>
      <c r="L355" s="3"/>
      <c r="M355" s="5"/>
      <c r="N355" s="5"/>
      <c r="O355" s="5"/>
      <c r="P355" s="5"/>
      <c r="Q355" s="1"/>
      <c r="R355" s="1"/>
    </row>
    <row r="356" spans="1:18" ht="24" x14ac:dyDescent="0.25">
      <c r="A356" s="16" t="s">
        <v>642</v>
      </c>
      <c r="B356" s="16" t="s">
        <v>643</v>
      </c>
      <c r="C356" s="17" t="s">
        <v>27</v>
      </c>
      <c r="D356" s="8"/>
      <c r="E356" s="8"/>
      <c r="F356" s="8"/>
      <c r="G356" s="8"/>
      <c r="H356" s="8"/>
      <c r="I356" s="4"/>
      <c r="J356" s="7"/>
      <c r="K356" s="7"/>
      <c r="L356" s="3"/>
      <c r="M356" s="5"/>
      <c r="N356" s="5"/>
      <c r="O356" s="5"/>
      <c r="P356" s="5"/>
      <c r="Q356" s="1"/>
      <c r="R356" s="1"/>
    </row>
    <row r="357" spans="1:18" ht="24" x14ac:dyDescent="0.25">
      <c r="A357" s="16" t="s">
        <v>644</v>
      </c>
      <c r="B357" s="16" t="s">
        <v>645</v>
      </c>
      <c r="C357" s="17" t="s">
        <v>27</v>
      </c>
      <c r="D357" s="8"/>
      <c r="E357" s="8"/>
      <c r="F357" s="8"/>
      <c r="G357" s="8"/>
      <c r="H357" s="8"/>
      <c r="I357" s="4"/>
      <c r="J357" s="7"/>
      <c r="K357" s="7"/>
      <c r="L357" s="3"/>
      <c r="M357" s="5"/>
      <c r="N357" s="5"/>
      <c r="O357" s="5"/>
      <c r="P357" s="5"/>
      <c r="Q357" s="1"/>
      <c r="R357" s="1"/>
    </row>
    <row r="358" spans="1:18" ht="24" x14ac:dyDescent="0.25">
      <c r="A358" s="16" t="s">
        <v>646</v>
      </c>
      <c r="B358" s="16" t="s">
        <v>647</v>
      </c>
      <c r="C358" s="17" t="s">
        <v>27</v>
      </c>
      <c r="D358" s="8"/>
      <c r="E358" s="8"/>
      <c r="F358" s="8"/>
      <c r="G358" s="8"/>
      <c r="H358" s="8"/>
      <c r="I358" s="4"/>
      <c r="J358" s="7"/>
      <c r="K358" s="7"/>
      <c r="L358" s="3"/>
      <c r="M358" s="5"/>
      <c r="N358" s="5"/>
      <c r="O358" s="5"/>
      <c r="P358" s="5"/>
      <c r="Q358" s="1"/>
      <c r="R358" s="1"/>
    </row>
    <row r="359" spans="1:18" ht="15" customHeight="1" x14ac:dyDescent="0.25">
      <c r="A359" s="11" t="s">
        <v>648</v>
      </c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1:18" ht="15" customHeight="1" x14ac:dyDescent="0.25">
      <c r="A360" s="10" t="s">
        <v>649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9">
        <v>205000</v>
      </c>
      <c r="Q360" s="9"/>
      <c r="R360" s="9"/>
    </row>
    <row r="361" spans="1:18" ht="24" x14ac:dyDescent="0.25">
      <c r="A361" s="16" t="s">
        <v>650</v>
      </c>
      <c r="B361" s="16" t="s">
        <v>651</v>
      </c>
      <c r="C361" s="17" t="s">
        <v>27</v>
      </c>
      <c r="D361" s="8">
        <v>46373</v>
      </c>
      <c r="E361" s="7"/>
      <c r="F361" s="8">
        <v>46373</v>
      </c>
      <c r="G361" s="6">
        <v>2</v>
      </c>
      <c r="H361" s="5">
        <v>102500</v>
      </c>
      <c r="I361" s="4">
        <f>G361*H361</f>
        <v>205000</v>
      </c>
      <c r="J361" s="7"/>
      <c r="K361" s="7"/>
      <c r="L361" s="3">
        <v>0</v>
      </c>
      <c r="M361" s="5">
        <v>0</v>
      </c>
      <c r="N361" s="5">
        <v>0</v>
      </c>
      <c r="O361" s="5">
        <v>0</v>
      </c>
      <c r="P361" s="2">
        <f>I361+L361+M361+N361+O361</f>
        <v>205000</v>
      </c>
      <c r="Q361" s="1">
        <v>0</v>
      </c>
      <c r="R361" s="1">
        <f>P361-Q361</f>
        <v>205000</v>
      </c>
    </row>
    <row r="362" spans="1:18" ht="24" x14ac:dyDescent="0.25">
      <c r="A362" s="16" t="s">
        <v>652</v>
      </c>
      <c r="B362" s="16" t="s">
        <v>653</v>
      </c>
      <c r="C362" s="17" t="s">
        <v>27</v>
      </c>
      <c r="D362" s="8"/>
      <c r="E362" s="8"/>
      <c r="F362" s="8"/>
      <c r="G362" s="8"/>
      <c r="H362" s="8"/>
      <c r="I362" s="4"/>
      <c r="J362" s="7"/>
      <c r="K362" s="7"/>
      <c r="L362" s="3"/>
      <c r="M362" s="5"/>
      <c r="N362" s="5"/>
      <c r="O362" s="5"/>
      <c r="P362" s="5"/>
      <c r="Q362" s="1"/>
      <c r="R362" s="1"/>
    </row>
    <row r="363" spans="1:18" ht="24" x14ac:dyDescent="0.25">
      <c r="A363" s="16" t="s">
        <v>654</v>
      </c>
      <c r="B363" s="16" t="s">
        <v>655</v>
      </c>
      <c r="C363" s="17" t="s">
        <v>27</v>
      </c>
      <c r="D363" s="8"/>
      <c r="E363" s="8"/>
      <c r="F363" s="8"/>
      <c r="G363" s="8"/>
      <c r="H363" s="8"/>
      <c r="I363" s="4"/>
      <c r="J363" s="7"/>
      <c r="K363" s="7"/>
      <c r="L363" s="3"/>
      <c r="M363" s="5"/>
      <c r="N363" s="5"/>
      <c r="O363" s="5"/>
      <c r="P363" s="5"/>
      <c r="Q363" s="1"/>
      <c r="R363" s="1"/>
    </row>
    <row r="364" spans="1:18" ht="24" x14ac:dyDescent="0.25">
      <c r="A364" s="16" t="s">
        <v>656</v>
      </c>
      <c r="B364" s="16" t="s">
        <v>657</v>
      </c>
      <c r="C364" s="17" t="s">
        <v>27</v>
      </c>
      <c r="D364" s="8"/>
      <c r="E364" s="8"/>
      <c r="F364" s="8"/>
      <c r="G364" s="8"/>
      <c r="H364" s="8"/>
      <c r="I364" s="4"/>
      <c r="J364" s="7"/>
      <c r="K364" s="7"/>
      <c r="L364" s="3"/>
      <c r="M364" s="5"/>
      <c r="N364" s="5"/>
      <c r="O364" s="5"/>
      <c r="P364" s="5"/>
      <c r="Q364" s="1"/>
      <c r="R364" s="1"/>
    </row>
    <row r="365" spans="1:18" ht="15" customHeight="1" x14ac:dyDescent="0.25">
      <c r="A365" s="10" t="s">
        <v>658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9">
        <v>410000</v>
      </c>
      <c r="Q365" s="9"/>
      <c r="R365" s="9"/>
    </row>
    <row r="366" spans="1:18" ht="24" x14ac:dyDescent="0.25">
      <c r="A366" s="16" t="s">
        <v>659</v>
      </c>
      <c r="B366" s="16" t="s">
        <v>660</v>
      </c>
      <c r="C366" s="17" t="s">
        <v>27</v>
      </c>
      <c r="D366" s="8">
        <v>46374</v>
      </c>
      <c r="E366" s="7"/>
      <c r="F366" s="8">
        <v>46374</v>
      </c>
      <c r="G366" s="6">
        <v>4</v>
      </c>
      <c r="H366" s="5">
        <v>102500</v>
      </c>
      <c r="I366" s="4">
        <f>G366*H366</f>
        <v>410000</v>
      </c>
      <c r="J366" s="7"/>
      <c r="K366" s="7"/>
      <c r="L366" s="3">
        <v>0</v>
      </c>
      <c r="M366" s="5">
        <v>0</v>
      </c>
      <c r="N366" s="5">
        <v>0</v>
      </c>
      <c r="O366" s="5">
        <v>0</v>
      </c>
      <c r="P366" s="2">
        <f>I366+L366+M366+N366+O366</f>
        <v>410000</v>
      </c>
      <c r="Q366" s="1">
        <v>0</v>
      </c>
      <c r="R366" s="1">
        <f>P366-Q366</f>
        <v>410000</v>
      </c>
    </row>
    <row r="367" spans="1:18" ht="24" x14ac:dyDescent="0.25">
      <c r="A367" s="16" t="s">
        <v>661</v>
      </c>
      <c r="B367" s="16" t="s">
        <v>662</v>
      </c>
      <c r="C367" s="17" t="s">
        <v>27</v>
      </c>
      <c r="D367" s="8"/>
      <c r="E367" s="8"/>
      <c r="F367" s="8"/>
      <c r="G367" s="8"/>
      <c r="H367" s="8"/>
      <c r="I367" s="4"/>
      <c r="J367" s="7"/>
      <c r="K367" s="7"/>
      <c r="L367" s="3"/>
      <c r="M367" s="5"/>
      <c r="N367" s="5"/>
      <c r="O367" s="5"/>
      <c r="P367" s="5"/>
      <c r="Q367" s="1"/>
      <c r="R367" s="1"/>
    </row>
    <row r="368" spans="1:18" ht="24" x14ac:dyDescent="0.25">
      <c r="A368" s="16" t="s">
        <v>663</v>
      </c>
      <c r="B368" s="16" t="s">
        <v>664</v>
      </c>
      <c r="C368" s="17" t="s">
        <v>27</v>
      </c>
      <c r="D368" s="8"/>
      <c r="E368" s="8"/>
      <c r="F368" s="8"/>
      <c r="G368" s="8"/>
      <c r="H368" s="8"/>
      <c r="I368" s="4"/>
      <c r="J368" s="7"/>
      <c r="K368" s="7"/>
      <c r="L368" s="3"/>
      <c r="M368" s="5"/>
      <c r="N368" s="5"/>
      <c r="O368" s="5"/>
      <c r="P368" s="5"/>
      <c r="Q368" s="1"/>
      <c r="R368" s="1"/>
    </row>
    <row r="369" spans="1:18" ht="24" x14ac:dyDescent="0.25">
      <c r="A369" s="16" t="s">
        <v>665</v>
      </c>
      <c r="B369" s="16" t="s">
        <v>666</v>
      </c>
      <c r="C369" s="17" t="s">
        <v>27</v>
      </c>
      <c r="D369" s="8"/>
      <c r="E369" s="8"/>
      <c r="F369" s="8"/>
      <c r="G369" s="8"/>
      <c r="H369" s="8"/>
      <c r="I369" s="4"/>
      <c r="J369" s="7"/>
      <c r="K369" s="7"/>
      <c r="L369" s="3"/>
      <c r="M369" s="5"/>
      <c r="N369" s="5"/>
      <c r="O369" s="5"/>
      <c r="P369" s="5"/>
      <c r="Q369" s="1"/>
      <c r="R369" s="1"/>
    </row>
    <row r="370" spans="1:18" ht="15" customHeight="1" x14ac:dyDescent="0.25">
      <c r="A370" s="10" t="s">
        <v>667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9">
        <v>307500</v>
      </c>
      <c r="Q370" s="9"/>
      <c r="R370" s="9"/>
    </row>
    <row r="371" spans="1:18" ht="24" x14ac:dyDescent="0.25">
      <c r="A371" s="16" t="s">
        <v>668</v>
      </c>
      <c r="B371" s="16" t="s">
        <v>669</v>
      </c>
      <c r="C371" s="17" t="s">
        <v>27</v>
      </c>
      <c r="D371" s="8">
        <v>46377</v>
      </c>
      <c r="E371" s="7"/>
      <c r="F371" s="8">
        <v>46377</v>
      </c>
      <c r="G371" s="6">
        <v>3</v>
      </c>
      <c r="H371" s="5">
        <v>102500</v>
      </c>
      <c r="I371" s="4">
        <f>G371*H371</f>
        <v>307500</v>
      </c>
      <c r="J371" s="7"/>
      <c r="K371" s="7"/>
      <c r="L371" s="3">
        <v>0</v>
      </c>
      <c r="M371" s="5">
        <v>0</v>
      </c>
      <c r="N371" s="5">
        <v>0</v>
      </c>
      <c r="O371" s="5">
        <v>0</v>
      </c>
      <c r="P371" s="2">
        <f>I371+L371+M371+N371+O371</f>
        <v>307500</v>
      </c>
      <c r="Q371" s="1">
        <v>0</v>
      </c>
      <c r="R371" s="1">
        <f>P371-Q371</f>
        <v>307500</v>
      </c>
    </row>
    <row r="372" spans="1:18" ht="24" x14ac:dyDescent="0.25">
      <c r="A372" s="16" t="s">
        <v>670</v>
      </c>
      <c r="B372" s="16" t="s">
        <v>671</v>
      </c>
      <c r="C372" s="17" t="s">
        <v>27</v>
      </c>
      <c r="D372" s="8"/>
      <c r="E372" s="8"/>
      <c r="F372" s="8"/>
      <c r="G372" s="8"/>
      <c r="H372" s="8"/>
      <c r="I372" s="4"/>
      <c r="J372" s="7"/>
      <c r="K372" s="7"/>
      <c r="L372" s="3"/>
      <c r="M372" s="5"/>
      <c r="N372" s="5"/>
      <c r="O372" s="5"/>
      <c r="P372" s="5"/>
      <c r="Q372" s="1"/>
      <c r="R372" s="1"/>
    </row>
    <row r="373" spans="1:18" ht="24" x14ac:dyDescent="0.25">
      <c r="A373" s="16" t="s">
        <v>672</v>
      </c>
      <c r="B373" s="16" t="s">
        <v>673</v>
      </c>
      <c r="C373" s="17" t="s">
        <v>27</v>
      </c>
      <c r="D373" s="8"/>
      <c r="E373" s="8"/>
      <c r="F373" s="8"/>
      <c r="G373" s="8"/>
      <c r="H373" s="8"/>
      <c r="I373" s="4"/>
      <c r="J373" s="7"/>
      <c r="K373" s="7"/>
      <c r="L373" s="3"/>
      <c r="M373" s="5"/>
      <c r="N373" s="5"/>
      <c r="O373" s="5"/>
      <c r="P373" s="5"/>
      <c r="Q373" s="1"/>
      <c r="R373" s="1"/>
    </row>
    <row r="374" spans="1:18" ht="24" x14ac:dyDescent="0.25">
      <c r="A374" s="16" t="s">
        <v>674</v>
      </c>
      <c r="B374" s="16" t="s">
        <v>675</v>
      </c>
      <c r="C374" s="17" t="s">
        <v>27</v>
      </c>
      <c r="D374" s="8"/>
      <c r="E374" s="8"/>
      <c r="F374" s="8"/>
      <c r="G374" s="8"/>
      <c r="H374" s="8"/>
      <c r="I374" s="4"/>
      <c r="J374" s="7"/>
      <c r="K374" s="7"/>
      <c r="L374" s="3"/>
      <c r="M374" s="5"/>
      <c r="N374" s="5"/>
      <c r="O374" s="5"/>
      <c r="P374" s="5"/>
      <c r="Q374" s="1"/>
      <c r="R374" s="1"/>
    </row>
    <row r="375" spans="1:18" ht="15" customHeight="1" x14ac:dyDescent="0.25">
      <c r="A375" s="10" t="s">
        <v>676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9">
        <v>4100000</v>
      </c>
      <c r="Q375" s="9"/>
      <c r="R375" s="9"/>
    </row>
    <row r="376" spans="1:18" ht="24" x14ac:dyDescent="0.25">
      <c r="A376" s="16" t="s">
        <v>677</v>
      </c>
      <c r="B376" s="16" t="s">
        <v>678</v>
      </c>
      <c r="C376" s="17" t="s">
        <v>27</v>
      </c>
      <c r="D376" s="8">
        <v>46378</v>
      </c>
      <c r="E376" s="7"/>
      <c r="F376" s="8">
        <v>46379</v>
      </c>
      <c r="G376" s="6">
        <v>40</v>
      </c>
      <c r="H376" s="5">
        <v>102500</v>
      </c>
      <c r="I376" s="4">
        <f>G376*H376</f>
        <v>4100000</v>
      </c>
      <c r="J376" s="7"/>
      <c r="K376" s="7"/>
      <c r="L376" s="3">
        <v>0</v>
      </c>
      <c r="M376" s="5">
        <v>0</v>
      </c>
      <c r="N376" s="5">
        <v>0</v>
      </c>
      <c r="O376" s="5">
        <v>0</v>
      </c>
      <c r="P376" s="2">
        <f>I376+L376+M376+N376+O376</f>
        <v>4100000</v>
      </c>
      <c r="Q376" s="1">
        <v>0</v>
      </c>
      <c r="R376" s="1">
        <f>P376-Q376</f>
        <v>4100000</v>
      </c>
    </row>
    <row r="377" spans="1:18" x14ac:dyDescent="0.25">
      <c r="A377" s="16" t="s">
        <v>679</v>
      </c>
      <c r="B377" s="16" t="s">
        <v>680</v>
      </c>
      <c r="C377" s="17" t="s">
        <v>27</v>
      </c>
      <c r="D377" s="8"/>
      <c r="E377" s="8"/>
      <c r="F377" s="8"/>
      <c r="G377" s="8"/>
      <c r="H377" s="8"/>
      <c r="I377" s="4"/>
      <c r="J377" s="7"/>
      <c r="K377" s="7"/>
      <c r="L377" s="3"/>
      <c r="M377" s="5"/>
      <c r="N377" s="5"/>
      <c r="O377" s="5"/>
      <c r="P377" s="5"/>
      <c r="Q377" s="1"/>
      <c r="R377" s="1"/>
    </row>
    <row r="378" spans="1:18" ht="24" x14ac:dyDescent="0.25">
      <c r="A378" s="16" t="s">
        <v>681</v>
      </c>
      <c r="B378" s="16" t="s">
        <v>504</v>
      </c>
      <c r="C378" s="17" t="s">
        <v>27</v>
      </c>
      <c r="D378" s="8"/>
      <c r="E378" s="8"/>
      <c r="F378" s="8"/>
      <c r="G378" s="8"/>
      <c r="H378" s="8"/>
      <c r="I378" s="4"/>
      <c r="J378" s="7"/>
      <c r="K378" s="7"/>
      <c r="L378" s="3"/>
      <c r="M378" s="5"/>
      <c r="N378" s="5"/>
      <c r="O378" s="5"/>
      <c r="P378" s="5"/>
      <c r="Q378" s="1"/>
      <c r="R378" s="1"/>
    </row>
    <row r="379" spans="1:18" ht="24" x14ac:dyDescent="0.25">
      <c r="A379" s="16" t="s">
        <v>682</v>
      </c>
      <c r="B379" s="16" t="s">
        <v>683</v>
      </c>
      <c r="C379" s="17" t="s">
        <v>27</v>
      </c>
      <c r="D379" s="8"/>
      <c r="E379" s="8"/>
      <c r="F379" s="8"/>
      <c r="G379" s="8"/>
      <c r="H379" s="8"/>
      <c r="I379" s="4"/>
      <c r="J379" s="7"/>
      <c r="K379" s="7"/>
      <c r="L379" s="3"/>
      <c r="M379" s="5"/>
      <c r="N379" s="5"/>
      <c r="O379" s="5"/>
      <c r="P379" s="5"/>
      <c r="Q379" s="1"/>
      <c r="R379" s="1"/>
    </row>
    <row r="380" spans="1:18" ht="15" customHeight="1" x14ac:dyDescent="0.25">
      <c r="A380" s="10" t="s">
        <v>684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9">
        <v>8200000</v>
      </c>
      <c r="Q380" s="9"/>
      <c r="R380" s="9"/>
    </row>
    <row r="381" spans="1:18" ht="24" x14ac:dyDescent="0.25">
      <c r="A381" s="16" t="s">
        <v>685</v>
      </c>
      <c r="B381" s="16" t="s">
        <v>686</v>
      </c>
      <c r="C381" s="17" t="s">
        <v>27</v>
      </c>
      <c r="D381" s="8">
        <v>46380</v>
      </c>
      <c r="E381" s="7"/>
      <c r="F381" s="8">
        <v>46385</v>
      </c>
      <c r="G381" s="6">
        <v>80</v>
      </c>
      <c r="H381" s="5">
        <v>102500</v>
      </c>
      <c r="I381" s="4">
        <f>G381*H381</f>
        <v>8200000</v>
      </c>
      <c r="J381" s="7"/>
      <c r="K381" s="7"/>
      <c r="L381" s="3">
        <v>0</v>
      </c>
      <c r="M381" s="5">
        <v>0</v>
      </c>
      <c r="N381" s="5">
        <v>0</v>
      </c>
      <c r="O381" s="5">
        <v>0</v>
      </c>
      <c r="P381" s="2">
        <f>I381+L381+M381+N381+O381</f>
        <v>8200000</v>
      </c>
      <c r="Q381" s="1">
        <v>0</v>
      </c>
      <c r="R381" s="1">
        <f>P381-Q381</f>
        <v>8200000</v>
      </c>
    </row>
    <row r="382" spans="1:18" ht="24" x14ac:dyDescent="0.25">
      <c r="A382" s="16" t="s">
        <v>687</v>
      </c>
      <c r="B382" s="16" t="s">
        <v>688</v>
      </c>
      <c r="C382" s="17" t="s">
        <v>27</v>
      </c>
      <c r="D382" s="8"/>
      <c r="E382" s="8"/>
      <c r="F382" s="8"/>
      <c r="G382" s="8"/>
      <c r="H382" s="8"/>
      <c r="I382" s="4"/>
      <c r="J382" s="7"/>
      <c r="K382" s="7"/>
      <c r="L382" s="3"/>
      <c r="M382" s="5"/>
      <c r="N382" s="5"/>
      <c r="O382" s="5"/>
      <c r="P382" s="5"/>
      <c r="Q382" s="1"/>
      <c r="R382" s="1"/>
    </row>
    <row r="383" spans="1:18" ht="24" x14ac:dyDescent="0.25">
      <c r="A383" s="16" t="s">
        <v>689</v>
      </c>
      <c r="B383" s="16" t="s">
        <v>690</v>
      </c>
      <c r="C383" s="17" t="s">
        <v>27</v>
      </c>
      <c r="D383" s="8"/>
      <c r="E383" s="8"/>
      <c r="F383" s="8"/>
      <c r="G383" s="8"/>
      <c r="H383" s="8"/>
      <c r="I383" s="4"/>
      <c r="J383" s="7"/>
      <c r="K383" s="7"/>
      <c r="L383" s="3"/>
      <c r="M383" s="5"/>
      <c r="N383" s="5"/>
      <c r="O383" s="5"/>
      <c r="P383" s="5"/>
      <c r="Q383" s="1"/>
      <c r="R383" s="1"/>
    </row>
    <row r="384" spans="1:18" ht="24" x14ac:dyDescent="0.25">
      <c r="A384" s="16" t="s">
        <v>691</v>
      </c>
      <c r="B384" s="16" t="s">
        <v>692</v>
      </c>
      <c r="C384" s="17" t="s">
        <v>27</v>
      </c>
      <c r="D384" s="8"/>
      <c r="E384" s="8"/>
      <c r="F384" s="8"/>
      <c r="G384" s="8"/>
      <c r="H384" s="8"/>
      <c r="I384" s="4"/>
      <c r="J384" s="7"/>
      <c r="K384" s="7"/>
      <c r="L384" s="3"/>
      <c r="M384" s="5"/>
      <c r="N384" s="5"/>
      <c r="O384" s="5"/>
      <c r="P384" s="5"/>
      <c r="Q384" s="1"/>
      <c r="R384" s="1"/>
    </row>
    <row r="385" spans="1:18" ht="15" customHeight="1" x14ac:dyDescent="0.25">
      <c r="A385" s="10" t="s">
        <v>693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9">
        <v>4100000</v>
      </c>
      <c r="Q385" s="9"/>
      <c r="R385" s="9"/>
    </row>
    <row r="386" spans="1:18" ht="24" x14ac:dyDescent="0.25">
      <c r="A386" s="16" t="s">
        <v>694</v>
      </c>
      <c r="B386" s="16" t="s">
        <v>695</v>
      </c>
      <c r="C386" s="17" t="s">
        <v>27</v>
      </c>
      <c r="D386" s="8">
        <v>46386</v>
      </c>
      <c r="E386" s="7"/>
      <c r="F386" s="8">
        <v>46387</v>
      </c>
      <c r="G386" s="6">
        <v>40</v>
      </c>
      <c r="H386" s="5">
        <v>102500</v>
      </c>
      <c r="I386" s="4">
        <f>G386*H386</f>
        <v>4100000</v>
      </c>
      <c r="J386" s="7"/>
      <c r="K386" s="7"/>
      <c r="L386" s="3">
        <v>0</v>
      </c>
      <c r="M386" s="5">
        <v>0</v>
      </c>
      <c r="N386" s="5">
        <v>0</v>
      </c>
      <c r="O386" s="5">
        <v>0</v>
      </c>
      <c r="P386" s="2">
        <f>I386+L386+M386+N386+O386</f>
        <v>4100000</v>
      </c>
      <c r="Q386" s="1">
        <v>0</v>
      </c>
      <c r="R386" s="1">
        <f>P386-Q386</f>
        <v>4100000</v>
      </c>
    </row>
    <row r="387" spans="1:18" x14ac:dyDescent="0.25">
      <c r="A387" s="16" t="s">
        <v>696</v>
      </c>
      <c r="B387" s="16" t="s">
        <v>697</v>
      </c>
      <c r="C387" s="17" t="s">
        <v>27</v>
      </c>
      <c r="D387" s="8"/>
      <c r="E387" s="8"/>
      <c r="F387" s="8"/>
      <c r="G387" s="8"/>
      <c r="H387" s="8"/>
      <c r="I387" s="4"/>
      <c r="J387" s="7"/>
      <c r="K387" s="7"/>
      <c r="L387" s="3"/>
      <c r="M387" s="5"/>
      <c r="N387" s="5"/>
      <c r="O387" s="5"/>
      <c r="P387" s="5"/>
      <c r="Q387" s="1"/>
      <c r="R387" s="1"/>
    </row>
    <row r="388" spans="1:18" ht="24" x14ac:dyDescent="0.25">
      <c r="A388" s="16" t="s">
        <v>698</v>
      </c>
      <c r="B388" s="16" t="s">
        <v>699</v>
      </c>
      <c r="C388" s="17" t="s">
        <v>27</v>
      </c>
      <c r="D388" s="8"/>
      <c r="E388" s="8"/>
      <c r="F388" s="8"/>
      <c r="G388" s="8"/>
      <c r="H388" s="8"/>
      <c r="I388" s="4"/>
      <c r="J388" s="7"/>
      <c r="K388" s="7"/>
      <c r="L388" s="3"/>
      <c r="M388" s="5"/>
      <c r="N388" s="5"/>
      <c r="O388" s="5"/>
      <c r="P388" s="5"/>
      <c r="Q388" s="1"/>
      <c r="R388" s="1"/>
    </row>
    <row r="389" spans="1:18" ht="24" x14ac:dyDescent="0.25">
      <c r="A389" s="16" t="s">
        <v>700</v>
      </c>
      <c r="B389" s="16" t="s">
        <v>701</v>
      </c>
      <c r="C389" s="17" t="s">
        <v>27</v>
      </c>
      <c r="D389" s="8"/>
      <c r="E389" s="8"/>
      <c r="F389" s="8"/>
      <c r="G389" s="8"/>
      <c r="H389" s="8"/>
      <c r="I389" s="4"/>
      <c r="J389" s="7"/>
      <c r="K389" s="7"/>
      <c r="L389" s="3"/>
      <c r="M389" s="5"/>
      <c r="N389" s="5"/>
      <c r="O389" s="5"/>
      <c r="P389" s="5"/>
      <c r="Q389" s="1"/>
      <c r="R389" s="1"/>
    </row>
    <row r="390" spans="1:18" ht="15" customHeight="1" x14ac:dyDescent="0.25">
      <c r="A390" s="10" t="s">
        <v>702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9">
        <v>4100000</v>
      </c>
      <c r="Q390" s="9"/>
      <c r="R390" s="9"/>
    </row>
    <row r="391" spans="1:18" ht="24" x14ac:dyDescent="0.25">
      <c r="A391" s="16" t="s">
        <v>703</v>
      </c>
      <c r="B391" s="16" t="s">
        <v>704</v>
      </c>
      <c r="C391" s="17" t="s">
        <v>27</v>
      </c>
      <c r="D391" s="8">
        <v>46388</v>
      </c>
      <c r="E391" s="7"/>
      <c r="F391" s="8">
        <v>46391</v>
      </c>
      <c r="G391" s="6">
        <v>40</v>
      </c>
      <c r="H391" s="5">
        <v>102500</v>
      </c>
      <c r="I391" s="4">
        <f>G391*H391</f>
        <v>4100000</v>
      </c>
      <c r="J391" s="7"/>
      <c r="K391" s="7"/>
      <c r="L391" s="3">
        <v>0</v>
      </c>
      <c r="M391" s="5">
        <v>0</v>
      </c>
      <c r="N391" s="5">
        <v>0</v>
      </c>
      <c r="O391" s="5">
        <v>0</v>
      </c>
      <c r="P391" s="2">
        <f>I391+L391+M391+N391+O391</f>
        <v>4100000</v>
      </c>
      <c r="Q391" s="1">
        <v>0</v>
      </c>
      <c r="R391" s="1">
        <f>P391-Q391</f>
        <v>4100000</v>
      </c>
    </row>
    <row r="392" spans="1:18" ht="24" x14ac:dyDescent="0.25">
      <c r="A392" s="16" t="s">
        <v>705</v>
      </c>
      <c r="B392" s="16" t="s">
        <v>706</v>
      </c>
      <c r="C392" s="17" t="s">
        <v>27</v>
      </c>
      <c r="D392" s="8"/>
      <c r="E392" s="8"/>
      <c r="F392" s="8"/>
      <c r="G392" s="8"/>
      <c r="H392" s="8"/>
      <c r="I392" s="4"/>
      <c r="J392" s="7"/>
      <c r="K392" s="7"/>
      <c r="L392" s="3"/>
      <c r="M392" s="5"/>
      <c r="N392" s="5"/>
      <c r="O392" s="5"/>
      <c r="P392" s="5"/>
      <c r="Q392" s="1"/>
      <c r="R392" s="1"/>
    </row>
    <row r="393" spans="1:18" ht="24" x14ac:dyDescent="0.25">
      <c r="A393" s="16" t="s">
        <v>707</v>
      </c>
      <c r="B393" s="16" t="s">
        <v>708</v>
      </c>
      <c r="C393" s="17" t="s">
        <v>27</v>
      </c>
      <c r="D393" s="8"/>
      <c r="E393" s="8"/>
      <c r="F393" s="8"/>
      <c r="G393" s="8"/>
      <c r="H393" s="8"/>
      <c r="I393" s="4"/>
      <c r="J393" s="7"/>
      <c r="K393" s="7"/>
      <c r="L393" s="3"/>
      <c r="M393" s="5"/>
      <c r="N393" s="5"/>
      <c r="O393" s="5"/>
      <c r="P393" s="5"/>
      <c r="Q393" s="1"/>
      <c r="R393" s="1"/>
    </row>
    <row r="394" spans="1:18" ht="24" x14ac:dyDescent="0.25">
      <c r="A394" s="16" t="s">
        <v>709</v>
      </c>
      <c r="B394" s="16" t="s">
        <v>710</v>
      </c>
      <c r="C394" s="17" t="s">
        <v>27</v>
      </c>
      <c r="D394" s="8"/>
      <c r="E394" s="8"/>
      <c r="F394" s="8"/>
      <c r="G394" s="8"/>
      <c r="H394" s="8"/>
      <c r="I394" s="4"/>
      <c r="J394" s="7"/>
      <c r="K394" s="7"/>
      <c r="L394" s="3"/>
      <c r="M394" s="5"/>
      <c r="N394" s="5"/>
      <c r="O394" s="5"/>
      <c r="P394" s="5"/>
      <c r="Q394" s="1"/>
      <c r="R394" s="1"/>
    </row>
    <row r="395" spans="1:18" ht="15" customHeight="1" x14ac:dyDescent="0.25">
      <c r="A395" s="10" t="s">
        <v>711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9">
        <v>4100000</v>
      </c>
      <c r="Q395" s="9"/>
      <c r="R395" s="9"/>
    </row>
    <row r="396" spans="1:18" ht="24" x14ac:dyDescent="0.25">
      <c r="A396" s="16" t="s">
        <v>712</v>
      </c>
      <c r="B396" s="16" t="s">
        <v>713</v>
      </c>
      <c r="C396" s="17" t="s">
        <v>27</v>
      </c>
      <c r="D396" s="8">
        <v>46392</v>
      </c>
      <c r="E396" s="7"/>
      <c r="F396" s="8">
        <v>46393</v>
      </c>
      <c r="G396" s="6">
        <v>40</v>
      </c>
      <c r="H396" s="5">
        <v>102500</v>
      </c>
      <c r="I396" s="4">
        <f>G396*H396</f>
        <v>4100000</v>
      </c>
      <c r="J396" s="7"/>
      <c r="K396" s="7"/>
      <c r="L396" s="3">
        <v>0</v>
      </c>
      <c r="M396" s="5">
        <v>0</v>
      </c>
      <c r="N396" s="5">
        <v>0</v>
      </c>
      <c r="O396" s="5">
        <v>0</v>
      </c>
      <c r="P396" s="2">
        <f>I396+L396+M396+N396+O396</f>
        <v>4100000</v>
      </c>
      <c r="Q396" s="1">
        <v>0</v>
      </c>
      <c r="R396" s="1">
        <f>P396-Q396</f>
        <v>4100000</v>
      </c>
    </row>
    <row r="397" spans="1:18" ht="24" x14ac:dyDescent="0.25">
      <c r="A397" s="16" t="s">
        <v>714</v>
      </c>
      <c r="B397" s="16" t="s">
        <v>715</v>
      </c>
      <c r="C397" s="17" t="s">
        <v>27</v>
      </c>
      <c r="D397" s="8"/>
      <c r="E397" s="8"/>
      <c r="F397" s="8"/>
      <c r="G397" s="8"/>
      <c r="H397" s="8"/>
      <c r="I397" s="4"/>
      <c r="J397" s="7"/>
      <c r="K397" s="7"/>
      <c r="L397" s="3"/>
      <c r="M397" s="5"/>
      <c r="N397" s="5"/>
      <c r="O397" s="5"/>
      <c r="P397" s="5"/>
      <c r="Q397" s="1"/>
      <c r="R397" s="1"/>
    </row>
    <row r="398" spans="1:18" ht="24" x14ac:dyDescent="0.25">
      <c r="A398" s="16" t="s">
        <v>716</v>
      </c>
      <c r="B398" s="16" t="s">
        <v>717</v>
      </c>
      <c r="C398" s="17" t="s">
        <v>27</v>
      </c>
      <c r="D398" s="8"/>
      <c r="E398" s="8"/>
      <c r="F398" s="8"/>
      <c r="G398" s="8"/>
      <c r="H398" s="8"/>
      <c r="I398" s="4"/>
      <c r="J398" s="7"/>
      <c r="K398" s="7"/>
      <c r="L398" s="3"/>
      <c r="M398" s="5"/>
      <c r="N398" s="5"/>
      <c r="O398" s="5"/>
      <c r="P398" s="5"/>
      <c r="Q398" s="1"/>
      <c r="R398" s="1"/>
    </row>
    <row r="399" spans="1:18" ht="24" x14ac:dyDescent="0.25">
      <c r="A399" s="16" t="s">
        <v>718</v>
      </c>
      <c r="B399" s="16" t="s">
        <v>719</v>
      </c>
      <c r="C399" s="17" t="s">
        <v>27</v>
      </c>
      <c r="D399" s="8"/>
      <c r="E399" s="8"/>
      <c r="F399" s="8"/>
      <c r="G399" s="8"/>
      <c r="H399" s="8"/>
      <c r="I399" s="4"/>
      <c r="J399" s="7"/>
      <c r="K399" s="7"/>
      <c r="L399" s="3"/>
      <c r="M399" s="5"/>
      <c r="N399" s="5"/>
      <c r="O399" s="5"/>
      <c r="P399" s="5"/>
      <c r="Q399" s="1"/>
      <c r="R399" s="1"/>
    </row>
    <row r="400" spans="1:18" ht="15" customHeight="1" x14ac:dyDescent="0.25">
      <c r="A400" s="10" t="s">
        <v>720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9">
        <v>8200000</v>
      </c>
      <c r="Q400" s="9"/>
      <c r="R400" s="9"/>
    </row>
    <row r="401" spans="1:18" ht="24" x14ac:dyDescent="0.25">
      <c r="A401" s="16" t="s">
        <v>721</v>
      </c>
      <c r="B401" s="16" t="s">
        <v>722</v>
      </c>
      <c r="C401" s="17" t="s">
        <v>27</v>
      </c>
      <c r="D401" s="8">
        <v>46394</v>
      </c>
      <c r="E401" s="7"/>
      <c r="F401" s="8">
        <v>46399</v>
      </c>
      <c r="G401" s="6">
        <v>80</v>
      </c>
      <c r="H401" s="5">
        <v>102500</v>
      </c>
      <c r="I401" s="4">
        <f>G401*H401</f>
        <v>8200000</v>
      </c>
      <c r="J401" s="7"/>
      <c r="K401" s="7"/>
      <c r="L401" s="3">
        <v>0</v>
      </c>
      <c r="M401" s="5">
        <v>0</v>
      </c>
      <c r="N401" s="5">
        <v>0</v>
      </c>
      <c r="O401" s="5">
        <v>0</v>
      </c>
      <c r="P401" s="2">
        <f>I401+L401+M401+N401+O401</f>
        <v>8200000</v>
      </c>
      <c r="Q401" s="1">
        <v>0</v>
      </c>
      <c r="R401" s="1">
        <f>P401-Q401</f>
        <v>8200000</v>
      </c>
    </row>
    <row r="402" spans="1:18" ht="24" x14ac:dyDescent="0.25">
      <c r="A402" s="16" t="s">
        <v>723</v>
      </c>
      <c r="B402" s="16" t="s">
        <v>724</v>
      </c>
      <c r="C402" s="17" t="s">
        <v>27</v>
      </c>
      <c r="D402" s="8"/>
      <c r="E402" s="8"/>
      <c r="F402" s="8"/>
      <c r="G402" s="8"/>
      <c r="H402" s="8"/>
      <c r="I402" s="4"/>
      <c r="J402" s="7"/>
      <c r="K402" s="7"/>
      <c r="L402" s="3"/>
      <c r="M402" s="5"/>
      <c r="N402" s="5"/>
      <c r="O402" s="5"/>
      <c r="P402" s="5"/>
      <c r="Q402" s="1"/>
      <c r="R402" s="1"/>
    </row>
    <row r="403" spans="1:18" ht="24" x14ac:dyDescent="0.25">
      <c r="A403" s="16" t="s">
        <v>725</v>
      </c>
      <c r="B403" s="16" t="s">
        <v>726</v>
      </c>
      <c r="C403" s="17" t="s">
        <v>27</v>
      </c>
      <c r="D403" s="8"/>
      <c r="E403" s="8"/>
      <c r="F403" s="8"/>
      <c r="G403" s="8"/>
      <c r="H403" s="8"/>
      <c r="I403" s="4"/>
      <c r="J403" s="7"/>
      <c r="K403" s="7"/>
      <c r="L403" s="3"/>
      <c r="M403" s="5"/>
      <c r="N403" s="5"/>
      <c r="O403" s="5"/>
      <c r="P403" s="5"/>
      <c r="Q403" s="1"/>
      <c r="R403" s="1"/>
    </row>
    <row r="404" spans="1:18" ht="24" x14ac:dyDescent="0.25">
      <c r="A404" s="16" t="s">
        <v>727</v>
      </c>
      <c r="B404" s="16" t="s">
        <v>728</v>
      </c>
      <c r="C404" s="17" t="s">
        <v>27</v>
      </c>
      <c r="D404" s="8"/>
      <c r="E404" s="8"/>
      <c r="F404" s="8"/>
      <c r="G404" s="8"/>
      <c r="H404" s="8"/>
      <c r="I404" s="4"/>
      <c r="J404" s="7"/>
      <c r="K404" s="7"/>
      <c r="L404" s="3"/>
      <c r="M404" s="5"/>
      <c r="N404" s="5"/>
      <c r="O404" s="5"/>
      <c r="P404" s="5"/>
      <c r="Q404" s="1"/>
      <c r="R404" s="1"/>
    </row>
    <row r="405" spans="1:18" ht="15" customHeight="1" x14ac:dyDescent="0.25">
      <c r="A405" s="10" t="s">
        <v>729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9">
        <v>32800000</v>
      </c>
      <c r="Q405" s="9"/>
      <c r="R405" s="9"/>
    </row>
    <row r="406" spans="1:18" ht="24" x14ac:dyDescent="0.25">
      <c r="A406" s="16" t="s">
        <v>730</v>
      </c>
      <c r="B406" s="16" t="s">
        <v>731</v>
      </c>
      <c r="C406" s="17" t="s">
        <v>27</v>
      </c>
      <c r="D406" s="8">
        <v>46400</v>
      </c>
      <c r="E406" s="7"/>
      <c r="F406" s="8">
        <v>46421</v>
      </c>
      <c r="G406" s="6">
        <v>320</v>
      </c>
      <c r="H406" s="5">
        <v>102500</v>
      </c>
      <c r="I406" s="4">
        <f>G406*H406</f>
        <v>32800000</v>
      </c>
      <c r="J406" s="7"/>
      <c r="K406" s="7"/>
      <c r="L406" s="3">
        <v>0</v>
      </c>
      <c r="M406" s="5">
        <v>0</v>
      </c>
      <c r="N406" s="5">
        <v>0</v>
      </c>
      <c r="O406" s="5">
        <v>0</v>
      </c>
      <c r="P406" s="2">
        <f>I406+L406+M406+N406+O406</f>
        <v>32800000</v>
      </c>
      <c r="Q406" s="1">
        <v>0</v>
      </c>
      <c r="R406" s="1">
        <f>P406-Q406</f>
        <v>32800000</v>
      </c>
    </row>
    <row r="407" spans="1:18" ht="24" x14ac:dyDescent="0.25">
      <c r="A407" s="16" t="s">
        <v>732</v>
      </c>
      <c r="B407" s="16" t="s">
        <v>733</v>
      </c>
      <c r="C407" s="17" t="s">
        <v>27</v>
      </c>
      <c r="D407" s="8"/>
      <c r="E407" s="8"/>
      <c r="F407" s="8"/>
      <c r="G407" s="8"/>
      <c r="H407" s="8"/>
      <c r="I407" s="4"/>
      <c r="J407" s="7"/>
      <c r="K407" s="7"/>
      <c r="L407" s="3"/>
      <c r="M407" s="5"/>
      <c r="N407" s="5"/>
      <c r="O407" s="5"/>
      <c r="P407" s="5"/>
      <c r="Q407" s="1"/>
      <c r="R407" s="1"/>
    </row>
    <row r="408" spans="1:18" ht="24" x14ac:dyDescent="0.25">
      <c r="A408" s="16" t="s">
        <v>734</v>
      </c>
      <c r="B408" s="16" t="s">
        <v>735</v>
      </c>
      <c r="C408" s="17" t="s">
        <v>27</v>
      </c>
      <c r="D408" s="8"/>
      <c r="E408" s="8"/>
      <c r="F408" s="8"/>
      <c r="G408" s="8"/>
      <c r="H408" s="8"/>
      <c r="I408" s="4"/>
      <c r="J408" s="7"/>
      <c r="K408" s="7"/>
      <c r="L408" s="3"/>
      <c r="M408" s="5"/>
      <c r="N408" s="5"/>
      <c r="O408" s="5"/>
      <c r="P408" s="5"/>
      <c r="Q408" s="1"/>
      <c r="R408" s="1"/>
    </row>
    <row r="409" spans="1:18" ht="24" x14ac:dyDescent="0.25">
      <c r="A409" s="16" t="s">
        <v>736</v>
      </c>
      <c r="B409" s="16" t="s">
        <v>737</v>
      </c>
      <c r="C409" s="17" t="s">
        <v>27</v>
      </c>
      <c r="D409" s="8"/>
      <c r="E409" s="8"/>
      <c r="F409" s="8"/>
      <c r="G409" s="8"/>
      <c r="H409" s="8"/>
      <c r="I409" s="4"/>
      <c r="J409" s="7"/>
      <c r="K409" s="7"/>
      <c r="L409" s="3"/>
      <c r="M409" s="5"/>
      <c r="N409" s="5"/>
      <c r="O409" s="5"/>
      <c r="P409" s="5"/>
      <c r="Q409" s="1"/>
      <c r="R409" s="1"/>
    </row>
    <row r="410" spans="1:18" ht="15" customHeight="1" x14ac:dyDescent="0.25">
      <c r="A410" s="10" t="s">
        <v>738</v>
      </c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9">
        <v>32800000</v>
      </c>
      <c r="Q410" s="9"/>
      <c r="R410" s="9"/>
    </row>
    <row r="411" spans="1:18" ht="24" x14ac:dyDescent="0.25">
      <c r="A411" s="16" t="s">
        <v>739</v>
      </c>
      <c r="B411" s="16" t="s">
        <v>740</v>
      </c>
      <c r="C411" s="17" t="s">
        <v>27</v>
      </c>
      <c r="D411" s="8">
        <v>46422</v>
      </c>
      <c r="E411" s="7"/>
      <c r="F411" s="8">
        <v>46443</v>
      </c>
      <c r="G411" s="6">
        <v>320</v>
      </c>
      <c r="H411" s="5">
        <v>102500</v>
      </c>
      <c r="I411" s="4">
        <f>G411*H411</f>
        <v>32800000</v>
      </c>
      <c r="J411" s="7"/>
      <c r="K411" s="7"/>
      <c r="L411" s="3">
        <v>0</v>
      </c>
      <c r="M411" s="5">
        <v>0</v>
      </c>
      <c r="N411" s="5">
        <v>0</v>
      </c>
      <c r="O411" s="5">
        <v>0</v>
      </c>
      <c r="P411" s="2">
        <f>I411+L411+M411+N411+O411</f>
        <v>32800000</v>
      </c>
      <c r="Q411" s="1">
        <v>0</v>
      </c>
      <c r="R411" s="1">
        <f>P411-Q411</f>
        <v>32800000</v>
      </c>
    </row>
    <row r="412" spans="1:18" ht="24" x14ac:dyDescent="0.25">
      <c r="A412" s="16" t="s">
        <v>741</v>
      </c>
      <c r="B412" s="16" t="s">
        <v>742</v>
      </c>
      <c r="C412" s="17" t="s">
        <v>27</v>
      </c>
      <c r="D412" s="8"/>
      <c r="E412" s="8"/>
      <c r="F412" s="8"/>
      <c r="G412" s="8"/>
      <c r="H412" s="8"/>
      <c r="I412" s="4"/>
      <c r="J412" s="7"/>
      <c r="K412" s="7"/>
      <c r="L412" s="3"/>
      <c r="M412" s="5"/>
      <c r="N412" s="5"/>
      <c r="O412" s="5"/>
      <c r="P412" s="5"/>
      <c r="Q412" s="1"/>
      <c r="R412" s="1"/>
    </row>
    <row r="413" spans="1:18" ht="24" x14ac:dyDescent="0.25">
      <c r="A413" s="16" t="s">
        <v>743</v>
      </c>
      <c r="B413" s="16" t="s">
        <v>744</v>
      </c>
      <c r="C413" s="17" t="s">
        <v>27</v>
      </c>
      <c r="D413" s="8"/>
      <c r="E413" s="8"/>
      <c r="F413" s="8"/>
      <c r="G413" s="8"/>
      <c r="H413" s="8"/>
      <c r="I413" s="4"/>
      <c r="J413" s="7"/>
      <c r="K413" s="7"/>
      <c r="L413" s="3"/>
      <c r="M413" s="5"/>
      <c r="N413" s="5"/>
      <c r="O413" s="5"/>
      <c r="P413" s="5"/>
      <c r="Q413" s="1"/>
      <c r="R413" s="1"/>
    </row>
    <row r="414" spans="1:18" ht="24" x14ac:dyDescent="0.25">
      <c r="A414" s="16" t="s">
        <v>745</v>
      </c>
      <c r="B414" s="16" t="s">
        <v>746</v>
      </c>
      <c r="C414" s="17" t="s">
        <v>27</v>
      </c>
      <c r="D414" s="8"/>
      <c r="E414" s="8"/>
      <c r="F414" s="8"/>
      <c r="G414" s="8"/>
      <c r="H414" s="8"/>
      <c r="I414" s="4"/>
      <c r="J414" s="7"/>
      <c r="K414" s="7"/>
      <c r="L414" s="3"/>
      <c r="M414" s="5"/>
      <c r="N414" s="5"/>
      <c r="O414" s="5"/>
      <c r="P414" s="5"/>
      <c r="Q414" s="1"/>
      <c r="R414" s="1"/>
    </row>
    <row r="415" spans="1:18" x14ac:dyDescent="0.25">
      <c r="A415" s="29" t="s">
        <v>747</v>
      </c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</row>
    <row r="416" spans="1:18" ht="24" x14ac:dyDescent="0.25">
      <c r="A416" s="21" t="s">
        <v>748</v>
      </c>
      <c r="B416" s="16" t="s">
        <v>749</v>
      </c>
      <c r="C416" s="17" t="s">
        <v>27</v>
      </c>
      <c r="D416" s="22"/>
      <c r="E416" s="22"/>
      <c r="F416" s="22"/>
      <c r="G416" s="18"/>
      <c r="H416" s="18"/>
      <c r="I416" s="19">
        <v>0</v>
      </c>
      <c r="J416" s="22"/>
      <c r="K416" s="18"/>
      <c r="L416" s="19">
        <f t="shared" ref="L416:L425" si="0">IF(AND(J416&lt;&gt;"",K416&lt;&gt;""),J416*K416,0)</f>
        <v>0</v>
      </c>
      <c r="M416" s="18">
        <v>0</v>
      </c>
      <c r="N416" s="18">
        <v>0</v>
      </c>
      <c r="O416" s="18">
        <v>0</v>
      </c>
      <c r="P416" s="18">
        <f t="shared" ref="P416:P425" si="1">I416+L416+M416+N416+O416</f>
        <v>0</v>
      </c>
      <c r="Q416" s="20">
        <v>0</v>
      </c>
      <c r="R416" s="20">
        <f t="shared" ref="R416:R425" si="2">P416-Q416</f>
        <v>0</v>
      </c>
    </row>
    <row r="417" spans="1:18" ht="24" x14ac:dyDescent="0.25">
      <c r="A417" s="21" t="s">
        <v>750</v>
      </c>
      <c r="B417" s="16" t="s">
        <v>751</v>
      </c>
      <c r="C417" s="17" t="s">
        <v>27</v>
      </c>
      <c r="D417" s="22"/>
      <c r="E417" s="22"/>
      <c r="F417" s="22"/>
      <c r="G417" s="18"/>
      <c r="H417" s="18"/>
      <c r="I417" s="19">
        <v>0</v>
      </c>
      <c r="J417" s="22">
        <v>6</v>
      </c>
      <c r="K417" s="18">
        <v>50000</v>
      </c>
      <c r="L417" s="19">
        <f t="shared" si="0"/>
        <v>300000</v>
      </c>
      <c r="M417" s="18">
        <v>0</v>
      </c>
      <c r="N417" s="18">
        <v>0</v>
      </c>
      <c r="O417" s="18">
        <v>0</v>
      </c>
      <c r="P417" s="18">
        <f t="shared" si="1"/>
        <v>300000</v>
      </c>
      <c r="Q417" s="20">
        <v>0</v>
      </c>
      <c r="R417" s="20">
        <f t="shared" si="2"/>
        <v>300000</v>
      </c>
    </row>
    <row r="418" spans="1:18" ht="24" x14ac:dyDescent="0.25">
      <c r="A418" s="21" t="s">
        <v>752</v>
      </c>
      <c r="B418" s="16" t="s">
        <v>753</v>
      </c>
      <c r="C418" s="17" t="s">
        <v>27</v>
      </c>
      <c r="D418" s="22"/>
      <c r="E418" s="22"/>
      <c r="F418" s="22"/>
      <c r="G418" s="18"/>
      <c r="H418" s="18"/>
      <c r="I418" s="19">
        <v>0</v>
      </c>
      <c r="J418" s="22"/>
      <c r="K418" s="18"/>
      <c r="L418" s="19">
        <f t="shared" si="0"/>
        <v>0</v>
      </c>
      <c r="M418" s="18">
        <v>0</v>
      </c>
      <c r="N418" s="18">
        <v>0</v>
      </c>
      <c r="O418" s="18">
        <v>0</v>
      </c>
      <c r="P418" s="18">
        <f t="shared" si="1"/>
        <v>0</v>
      </c>
      <c r="Q418" s="20">
        <v>0</v>
      </c>
      <c r="R418" s="20">
        <f t="shared" si="2"/>
        <v>0</v>
      </c>
    </row>
    <row r="419" spans="1:18" ht="24" x14ac:dyDescent="0.25">
      <c r="A419" s="21" t="s">
        <v>754</v>
      </c>
      <c r="B419" s="16" t="s">
        <v>755</v>
      </c>
      <c r="C419" s="17" t="s">
        <v>27</v>
      </c>
      <c r="D419" s="22"/>
      <c r="E419" s="22"/>
      <c r="F419" s="22"/>
      <c r="G419" s="18"/>
      <c r="H419" s="18"/>
      <c r="I419" s="19">
        <v>0</v>
      </c>
      <c r="J419" s="22">
        <v>6</v>
      </c>
      <c r="K419" s="18">
        <v>0</v>
      </c>
      <c r="L419" s="19">
        <f t="shared" si="0"/>
        <v>0</v>
      </c>
      <c r="M419" s="18">
        <v>0</v>
      </c>
      <c r="N419" s="18">
        <v>0</v>
      </c>
      <c r="O419" s="18">
        <v>0</v>
      </c>
      <c r="P419" s="18">
        <f t="shared" si="1"/>
        <v>0</v>
      </c>
      <c r="Q419" s="20">
        <v>0</v>
      </c>
      <c r="R419" s="20">
        <f t="shared" si="2"/>
        <v>0</v>
      </c>
    </row>
    <row r="420" spans="1:18" ht="24" x14ac:dyDescent="0.25">
      <c r="A420" s="21" t="s">
        <v>756</v>
      </c>
      <c r="B420" s="16" t="s">
        <v>757</v>
      </c>
      <c r="C420" s="17" t="s">
        <v>27</v>
      </c>
      <c r="D420" s="22"/>
      <c r="E420" s="22"/>
      <c r="F420" s="22"/>
      <c r="G420" s="18"/>
      <c r="H420" s="18"/>
      <c r="I420" s="19">
        <v>0</v>
      </c>
      <c r="J420" s="22">
        <v>6</v>
      </c>
      <c r="K420" s="18">
        <v>25000</v>
      </c>
      <c r="L420" s="19">
        <f t="shared" si="0"/>
        <v>150000</v>
      </c>
      <c r="M420" s="18">
        <v>0</v>
      </c>
      <c r="N420" s="18">
        <v>0</v>
      </c>
      <c r="O420" s="18">
        <v>0</v>
      </c>
      <c r="P420" s="18">
        <f t="shared" si="1"/>
        <v>150000</v>
      </c>
      <c r="Q420" s="20">
        <v>0</v>
      </c>
      <c r="R420" s="20">
        <f t="shared" si="2"/>
        <v>150000</v>
      </c>
    </row>
    <row r="421" spans="1:18" ht="24" x14ac:dyDescent="0.25">
      <c r="A421" s="21" t="s">
        <v>758</v>
      </c>
      <c r="B421" s="16" t="s">
        <v>759</v>
      </c>
      <c r="C421" s="17" t="s">
        <v>27</v>
      </c>
      <c r="D421" s="22"/>
      <c r="E421" s="22"/>
      <c r="F421" s="22"/>
      <c r="G421" s="18"/>
      <c r="H421" s="18"/>
      <c r="I421" s="19">
        <v>0</v>
      </c>
      <c r="J421" s="22">
        <v>6</v>
      </c>
      <c r="K421" s="18">
        <v>25000</v>
      </c>
      <c r="L421" s="19">
        <f t="shared" si="0"/>
        <v>150000</v>
      </c>
      <c r="M421" s="18">
        <v>0</v>
      </c>
      <c r="N421" s="18">
        <v>0</v>
      </c>
      <c r="O421" s="18">
        <v>0</v>
      </c>
      <c r="P421" s="18">
        <f t="shared" si="1"/>
        <v>150000</v>
      </c>
      <c r="Q421" s="20">
        <v>0</v>
      </c>
      <c r="R421" s="20">
        <f t="shared" si="2"/>
        <v>150000</v>
      </c>
    </row>
    <row r="422" spans="1:18" x14ac:dyDescent="0.25">
      <c r="A422" s="21" t="s">
        <v>760</v>
      </c>
      <c r="B422" s="16" t="s">
        <v>761</v>
      </c>
      <c r="C422" s="17" t="s">
        <v>27</v>
      </c>
      <c r="D422" s="22"/>
      <c r="E422" s="22"/>
      <c r="F422" s="22"/>
      <c r="G422" s="18"/>
      <c r="H422" s="18"/>
      <c r="I422" s="19">
        <v>0</v>
      </c>
      <c r="J422" s="22">
        <v>1</v>
      </c>
      <c r="K422" s="18">
        <v>100000</v>
      </c>
      <c r="L422" s="19">
        <f t="shared" si="0"/>
        <v>100000</v>
      </c>
      <c r="M422" s="18">
        <v>0</v>
      </c>
      <c r="N422" s="18">
        <v>0</v>
      </c>
      <c r="O422" s="18">
        <v>0</v>
      </c>
      <c r="P422" s="18">
        <f t="shared" si="1"/>
        <v>100000</v>
      </c>
      <c r="Q422" s="20">
        <v>0</v>
      </c>
      <c r="R422" s="20">
        <f t="shared" si="2"/>
        <v>100000</v>
      </c>
    </row>
    <row r="423" spans="1:18" ht="24" x14ac:dyDescent="0.25">
      <c r="A423" s="21" t="s">
        <v>762</v>
      </c>
      <c r="B423" s="16" t="s">
        <v>763</v>
      </c>
      <c r="C423" s="17" t="s">
        <v>27</v>
      </c>
      <c r="D423" s="22"/>
      <c r="E423" s="22"/>
      <c r="F423" s="22"/>
      <c r="G423" s="18"/>
      <c r="H423" s="18"/>
      <c r="I423" s="19">
        <v>0</v>
      </c>
      <c r="J423" s="22">
        <v>1</v>
      </c>
      <c r="K423" s="18">
        <v>100000</v>
      </c>
      <c r="L423" s="19">
        <f t="shared" si="0"/>
        <v>100000</v>
      </c>
      <c r="M423" s="18">
        <v>0</v>
      </c>
      <c r="N423" s="18">
        <v>0</v>
      </c>
      <c r="O423" s="18">
        <v>0</v>
      </c>
      <c r="P423" s="18">
        <f t="shared" si="1"/>
        <v>100000</v>
      </c>
      <c r="Q423" s="20">
        <v>0</v>
      </c>
      <c r="R423" s="20">
        <f t="shared" si="2"/>
        <v>100000</v>
      </c>
    </row>
    <row r="424" spans="1:18" ht="24" x14ac:dyDescent="0.25">
      <c r="A424" s="21" t="s">
        <v>764</v>
      </c>
      <c r="B424" s="16" t="s">
        <v>765</v>
      </c>
      <c r="C424" s="17" t="s">
        <v>27</v>
      </c>
      <c r="D424" s="22"/>
      <c r="E424" s="22"/>
      <c r="F424" s="22"/>
      <c r="G424" s="18"/>
      <c r="H424" s="18"/>
      <c r="I424" s="19">
        <v>0</v>
      </c>
      <c r="J424" s="22"/>
      <c r="K424" s="18"/>
      <c r="L424" s="19">
        <f t="shared" si="0"/>
        <v>0</v>
      </c>
      <c r="M424" s="18">
        <v>0</v>
      </c>
      <c r="N424" s="18">
        <v>0</v>
      </c>
      <c r="O424" s="18">
        <v>0</v>
      </c>
      <c r="P424" s="18">
        <f t="shared" si="1"/>
        <v>0</v>
      </c>
      <c r="Q424" s="20">
        <v>0</v>
      </c>
      <c r="R424" s="20">
        <f t="shared" si="2"/>
        <v>0</v>
      </c>
    </row>
    <row r="425" spans="1:18" ht="24" x14ac:dyDescent="0.25">
      <c r="A425" s="21" t="s">
        <v>766</v>
      </c>
      <c r="B425" s="16" t="s">
        <v>767</v>
      </c>
      <c r="C425" s="17" t="s">
        <v>27</v>
      </c>
      <c r="D425" s="22"/>
      <c r="E425" s="22"/>
      <c r="F425" s="22"/>
      <c r="G425" s="18"/>
      <c r="H425" s="18"/>
      <c r="I425" s="19">
        <v>0</v>
      </c>
      <c r="J425" s="22"/>
      <c r="K425" s="18"/>
      <c r="L425" s="19">
        <f t="shared" si="0"/>
        <v>0</v>
      </c>
      <c r="M425" s="18">
        <v>0</v>
      </c>
      <c r="N425" s="18">
        <v>0</v>
      </c>
      <c r="O425" s="18">
        <v>200000</v>
      </c>
      <c r="P425" s="18">
        <f t="shared" si="1"/>
        <v>200000</v>
      </c>
      <c r="Q425" s="20">
        <v>0</v>
      </c>
      <c r="R425" s="20">
        <f t="shared" si="2"/>
        <v>200000</v>
      </c>
    </row>
    <row r="426" spans="1:18" x14ac:dyDescent="0.25">
      <c r="A426" s="23" t="s">
        <v>768</v>
      </c>
      <c r="B426" s="24"/>
      <c r="C426" s="24"/>
      <c r="D426" s="24"/>
      <c r="E426" s="24"/>
      <c r="F426" s="24"/>
      <c r="G426" s="25">
        <f>SUM(G8:G11)+SUM(G13:G16)+SUM(G18:G21)+SUM(G23:G26)+SUM(G28:G31)+SUM(G33:G36)+SUM(G38:G41)+SUM(G43:G46)+SUM(G48:G51)+SUM(G53:G56)+SUM(G58:G61)+SUM(G64:G67)+SUM(G69:G72)+SUM(G74:G77)+SUM(G79:G82)+SUM(G84:G87)+SUM(G89:G92)+SUM(G94:G97)+SUM(G99:G102)+SUM(G104:G107)+SUM(G109:G112)+SUM(G114:G117)+SUM(G119:G122)+SUM(G124:G127)+SUM(G130:G133)+SUM(G135:G138)+SUM(G140:G143)+SUM(G145:G148)+SUM(G150:G153)+SUM(G155:G158)+SUM(G160:G163)+SUM(G165:G168)+SUM(G170:G173)+SUM(G175:G178)+SUM(G180:G183)+SUM(G185:G188)+SUM(G191:G193)+SUM(G195:G197)+SUM(G199:G201)+SUM(G203:G205)+SUM(G207:G209)+SUM(G211:G213)+SUM(G215:G217)+SUM(G219:G220)+SUM(G222:G223)+SUM(G225:G226)+SUM(G228:G230)+SUM(G233:G236)+SUM(G238:G241)+SUM(G243:G246)+SUM(G248:G251)+SUM(G253:G256)+SUM(G258:G261)+SUM(G263:G266)+SUM(G268:G271)+SUM(G273:G276)+SUM(G278:G281)+SUM(G283:G286)+SUM(G288:G291)+SUM(G294:G298)+SUM(G300:G304)+SUM(G306:G310)+SUM(G312:G316)+SUM(G318:G322)+SUM(G324:G328)+SUM(G330:G334)+SUM(G336:G340)+SUM(G342:G346)+SUM(G348:G352)+SUM(G354:G358)+SUM(G361:G364)+SUM(G366:G369)+SUM(G371:G374)+SUM(G376:G379)+SUM(G381:G384)+SUM(G386:G389)+SUM(G391:G394)+SUM(G396:G399)+SUM(G401:G404)+SUM(G406:G409)+SUM(G411:G414)+SUM(G416:G425)</f>
        <v>1736</v>
      </c>
      <c r="H426" s="24"/>
      <c r="I426" s="26">
        <f>SUM(I8:I11)+SUM(I13:I16)+SUM(I18:I21)+SUM(I23:I26)+SUM(I28:I31)+SUM(I33:I36)+SUM(I38:I41)+SUM(I43:I46)+SUM(I48:I51)+SUM(I53:I56)+SUM(I58:I61)+SUM(I64:I67)+SUM(I69:I72)+SUM(I74:I77)+SUM(I79:I82)+SUM(I84:I87)+SUM(I89:I92)+SUM(I94:I97)+SUM(I99:I102)+SUM(I104:I107)+SUM(I109:I112)+SUM(I114:I117)+SUM(I119:I122)+SUM(I124:I127)+SUM(I130:I133)+SUM(I135:I138)+SUM(I140:I143)+SUM(I145:I148)+SUM(I150:I153)+SUM(I155:I158)+SUM(I160:I163)+SUM(I165:I168)+SUM(I170:I173)+SUM(I175:I178)+SUM(I180:I183)+SUM(I185:I188)+SUM(I191:I193)+SUM(I195:I197)+SUM(I199:I201)+SUM(I203:I205)+SUM(I207:I209)+SUM(I211:I213)+SUM(I215:I217)+SUM(I219:I220)+SUM(I222:I223)+SUM(I225:I226)+SUM(I228:I230)+SUM(I233:I236)+SUM(I238:I241)+SUM(I243:I246)+SUM(I248:I251)+SUM(I253:I256)+SUM(I258:I261)+SUM(I263:I266)+SUM(I268:I271)+SUM(I273:I276)+SUM(I278:I281)+SUM(I283:I286)+SUM(I288:I291)+SUM(I294:I298)+SUM(I300:I304)+SUM(I306:I310)+SUM(I312:I316)+SUM(I318:I322)+SUM(I324:I328)+SUM(I330:I334)+SUM(I336:I340)+SUM(I342:I346)+SUM(I348:I352)+SUM(I354:I358)+SUM(I361:I364)+SUM(I366:I369)+SUM(I371:I374)+SUM(I376:I379)+SUM(I381:I384)+SUM(I386:I389)+SUM(I391:I394)+SUM(I396:I399)+SUM(I401:I404)+SUM(I406:I409)+SUM(I411:I414)+SUM(I416:I425)</f>
        <v>194580000</v>
      </c>
      <c r="J426" s="24"/>
      <c r="K426" s="24"/>
      <c r="L426" s="26">
        <f>SUM(L8:L11)+SUM(L13:L16)+SUM(L18:L21)+SUM(L23:L26)+SUM(L28:L31)+SUM(L33:L36)+SUM(L38:L41)+SUM(L43:L46)+SUM(L48:L51)+SUM(L53:L56)+SUM(L58:L61)+SUM(L64:L67)+SUM(L69:L72)+SUM(L74:L77)+SUM(L79:L82)+SUM(L84:L87)+SUM(L89:L92)+SUM(L94:L97)+SUM(L99:L102)+SUM(L104:L107)+SUM(L109:L112)+SUM(L114:L117)+SUM(L119:L122)+SUM(L124:L127)+SUM(L130:L133)+SUM(L135:L138)+SUM(L140:L143)+SUM(L145:L148)+SUM(L150:L153)+SUM(L155:L158)+SUM(L160:L163)+SUM(L165:L168)+SUM(L170:L173)+SUM(L175:L178)+SUM(L180:L183)+SUM(L185:L188)+SUM(L191:L193)+SUM(L195:L197)+SUM(L199:L201)+SUM(L203:L205)+SUM(L207:L209)+SUM(L211:L213)+SUM(L215:L217)+SUM(L219:L220)+SUM(L222:L223)+SUM(L225:L226)+SUM(L228:L230)+SUM(L233:L236)+SUM(L238:L241)+SUM(L243:L246)+SUM(L248:L251)+SUM(L253:L256)+SUM(L258:L261)+SUM(L263:L266)+SUM(L268:L271)+SUM(L273:L276)+SUM(L278:L281)+SUM(L283:L286)+SUM(L288:L291)+SUM(L294:L298)+SUM(L300:L304)+SUM(L306:L310)+SUM(L312:L316)+SUM(L318:L322)+SUM(L324:L328)+SUM(L330:L334)+SUM(L336:L340)+SUM(L342:L346)+SUM(L348:L352)+SUM(L354:L358)+SUM(L361:L364)+SUM(L366:L369)+SUM(L371:L374)+SUM(L376:L379)+SUM(L381:L384)+SUM(L386:L389)+SUM(L391:L394)+SUM(L396:L399)+SUM(L401:L404)+SUM(L406:L409)+SUM(L411:L414)+SUM(L416:L425)</f>
        <v>800000</v>
      </c>
      <c r="M426" s="26">
        <f t="shared" ref="L426:R426" si="3">SUM(M8:M11)+SUM(M13:M16)+SUM(M18:M21)+SUM(M23:M26)+SUM(M28:M31)+SUM(M33:M36)+SUM(M38:M41)+SUM(M43:M46)+SUM(M48:M51)+SUM(M53:M56)+SUM(M58:M61)+SUM(M64:M67)+SUM(M69:M72)+SUM(M74:M77)+SUM(M79:M82)+SUM(M84:M87)+SUM(M89:M92)+SUM(M94:M97)+SUM(M99:M102)+SUM(M104:M107)+SUM(M109:M112)+SUM(M114:M117)+SUM(M119:M122)+SUM(M124:M127)+SUM(M130:M133)+SUM(M135:M138)+SUM(M140:M143)+SUM(M145:M148)+SUM(M150:M153)+SUM(M155:M158)+SUM(M160:M163)+SUM(M165:M168)+SUM(M170:M173)+SUM(M175:M178)+SUM(M180:M183)+SUM(M185:M188)+SUM(M191:M193)+SUM(M195:M197)+SUM(M199:M201)+SUM(M203:M205)+SUM(M207:M209)+SUM(M211:M213)+SUM(M215:M217)+SUM(M219:M220)+SUM(M222:M223)+SUM(M225:M226)+SUM(M228:M230)+SUM(M233:M236)+SUM(M238:M241)+SUM(M243:M246)+SUM(M248:M251)+SUM(M253:M256)+SUM(M258:M261)+SUM(M263:M266)+SUM(M268:M271)+SUM(M273:M276)+SUM(M278:M281)+SUM(M283:M286)+SUM(M288:M291)+SUM(M294:M298)+SUM(M300:M304)+SUM(M306:M310)+SUM(M312:M316)+SUM(M318:M322)+SUM(M324:M328)+SUM(M330:M334)+SUM(M336:M340)+SUM(M342:M346)+SUM(M348:M352)+SUM(M354:M358)+SUM(M361:M364)+SUM(M366:M369)+SUM(M371:M374)+SUM(M376:M379)+SUM(M381:M384)+SUM(M386:M389)+SUM(M391:M394)+SUM(M396:M399)+SUM(M401:M404)+SUM(M406:M409)+SUM(M411:M414)+SUM(M416:M425)</f>
        <v>0</v>
      </c>
      <c r="N426" s="26">
        <f t="shared" si="3"/>
        <v>0</v>
      </c>
      <c r="O426" s="26">
        <f t="shared" si="3"/>
        <v>200000</v>
      </c>
      <c r="P426" s="26">
        <f t="shared" si="3"/>
        <v>195580000</v>
      </c>
      <c r="Q426" s="26">
        <f t="shared" si="3"/>
        <v>0</v>
      </c>
      <c r="R426" s="26">
        <f>SUM(R8:R11)+SUM(R13:R16)+SUM(R18:R21)+SUM(R23:R26)+SUM(R28:R31)+SUM(R33:R36)+SUM(R38:R41)+SUM(R43:R46)+SUM(R48:R51)+SUM(R53:R56)+SUM(R58:R61)+SUM(R64:R67)+SUM(R69:R72)+SUM(R74:R77)+SUM(R79:R82)+SUM(R84:R87)+SUM(R89:R92)+SUM(R94:R97)+SUM(R99:R102)+SUM(R104:R107)+SUM(R109:R112)+SUM(R114:R117)+SUM(R119:R122)+SUM(R124:R127)+SUM(R130:R133)+SUM(R135:R138)+SUM(R140:R143)+SUM(R145:R148)+SUM(R150:R153)+SUM(R155:R158)+SUM(R160:R163)+SUM(R165:R168)+SUM(R170:R173)+SUM(R175:R178)+SUM(R180:R183)+SUM(R185:R188)+SUM(R191:R193)+SUM(R195:R197)+SUM(R199:R201)+SUM(R203:R205)+SUM(R207:R209)+SUM(R211:R213)+SUM(R215:R217)+SUM(R219:R220)+SUM(R222:R223)+SUM(R225:R226)+SUM(R228:R230)+SUM(R233:R236)+SUM(R238:R241)+SUM(R243:R246)+SUM(R248:R251)+SUM(R253:R256)+SUM(R258:R261)+SUM(R263:R266)+SUM(R268:R271)+SUM(R273:R276)+SUM(R278:R281)+SUM(R283:R286)+SUM(R288:R291)+SUM(R294:R298)+SUM(R300:R304)+SUM(R306:R310)+SUM(R312:R316)+SUM(R318:R322)+SUM(R324:R328)+SUM(R330:R334)+SUM(R336:R340)+SUM(R342:R346)+SUM(R348:R352)+SUM(R354:R358)+SUM(R361:R364)+SUM(R366:R369)+SUM(R371:R374)+SUM(R376:R379)+SUM(R381:R384)+SUM(R386:R389)+SUM(R391:R394)+SUM(R396:R399)+SUM(R401:R404)+SUM(R406:R409)+SUM(R411:R414)+SUM(R416:R425)</f>
        <v>195580000</v>
      </c>
    </row>
    <row r="427" spans="1:18" ht="15" customHeight="1" x14ac:dyDescent="0.25">
      <c r="A427" s="30" t="s">
        <v>769</v>
      </c>
      <c r="B427" s="30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8">
        <f>P426*0.1</f>
        <v>19558000</v>
      </c>
      <c r="Q427" s="27"/>
      <c r="R427" s="27"/>
    </row>
    <row r="428" spans="1:18" ht="15" customHeight="1" x14ac:dyDescent="0.25">
      <c r="A428" s="31" t="s">
        <v>770</v>
      </c>
      <c r="B428" s="31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6">
        <f>P426+P427</f>
        <v>215138000</v>
      </c>
      <c r="Q428" s="24"/>
      <c r="R428" s="24"/>
    </row>
    <row r="430" spans="1:18" ht="15" customHeight="1" x14ac:dyDescent="0.25">
      <c r="A430" s="32" t="s">
        <v>771</v>
      </c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</row>
    <row r="431" spans="1:18" ht="15" customHeight="1" x14ac:dyDescent="0.25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</row>
  </sheetData>
  <mergeCells count="1395">
    <mergeCell ref="A415:R415"/>
    <mergeCell ref="A427:B427"/>
    <mergeCell ref="A428:B428"/>
    <mergeCell ref="A430:R430"/>
    <mergeCell ref="A431:R431"/>
    <mergeCell ref="A410:O410"/>
    <mergeCell ref="P410:R410"/>
    <mergeCell ref="D411:D414"/>
    <mergeCell ref="E411:E414"/>
    <mergeCell ref="F411:F414"/>
    <mergeCell ref="G411:G414"/>
    <mergeCell ref="H411:H414"/>
    <mergeCell ref="I411:I414"/>
    <mergeCell ref="J411:J414"/>
    <mergeCell ref="K411:K414"/>
    <mergeCell ref="L411:L414"/>
    <mergeCell ref="M411:M414"/>
    <mergeCell ref="N411:N414"/>
    <mergeCell ref="O411:O414"/>
    <mergeCell ref="P411:P414"/>
    <mergeCell ref="Q411:Q414"/>
    <mergeCell ref="R411:R414"/>
    <mergeCell ref="A405:O405"/>
    <mergeCell ref="P405:R405"/>
    <mergeCell ref="D406:D409"/>
    <mergeCell ref="E406:E409"/>
    <mergeCell ref="F406:F409"/>
    <mergeCell ref="G406:G409"/>
    <mergeCell ref="H406:H409"/>
    <mergeCell ref="I406:I409"/>
    <mergeCell ref="J406:J409"/>
    <mergeCell ref="K406:K409"/>
    <mergeCell ref="L406:L409"/>
    <mergeCell ref="M406:M409"/>
    <mergeCell ref="N406:N409"/>
    <mergeCell ref="O406:O409"/>
    <mergeCell ref="P406:P409"/>
    <mergeCell ref="Q406:Q409"/>
    <mergeCell ref="R406:R409"/>
    <mergeCell ref="A400:O400"/>
    <mergeCell ref="P400:R400"/>
    <mergeCell ref="D401:D404"/>
    <mergeCell ref="E401:E404"/>
    <mergeCell ref="F401:F404"/>
    <mergeCell ref="G401:G404"/>
    <mergeCell ref="H401:H404"/>
    <mergeCell ref="I401:I404"/>
    <mergeCell ref="J401:J404"/>
    <mergeCell ref="K401:K404"/>
    <mergeCell ref="L401:L404"/>
    <mergeCell ref="M401:M404"/>
    <mergeCell ref="N401:N404"/>
    <mergeCell ref="O401:O404"/>
    <mergeCell ref="P401:P404"/>
    <mergeCell ref="Q401:Q404"/>
    <mergeCell ref="R401:R404"/>
    <mergeCell ref="A395:O395"/>
    <mergeCell ref="P395:R395"/>
    <mergeCell ref="D396:D399"/>
    <mergeCell ref="E396:E399"/>
    <mergeCell ref="F396:F399"/>
    <mergeCell ref="G396:G399"/>
    <mergeCell ref="H396:H399"/>
    <mergeCell ref="I396:I399"/>
    <mergeCell ref="J396:J399"/>
    <mergeCell ref="K396:K399"/>
    <mergeCell ref="L396:L399"/>
    <mergeCell ref="M396:M399"/>
    <mergeCell ref="N396:N399"/>
    <mergeCell ref="O396:O399"/>
    <mergeCell ref="P396:P399"/>
    <mergeCell ref="Q396:Q399"/>
    <mergeCell ref="R396:R399"/>
    <mergeCell ref="A390:O390"/>
    <mergeCell ref="P390:R390"/>
    <mergeCell ref="D391:D394"/>
    <mergeCell ref="E391:E394"/>
    <mergeCell ref="F391:F394"/>
    <mergeCell ref="G391:G394"/>
    <mergeCell ref="H391:H394"/>
    <mergeCell ref="I391:I394"/>
    <mergeCell ref="J391:J394"/>
    <mergeCell ref="K391:K394"/>
    <mergeCell ref="L391:L394"/>
    <mergeCell ref="M391:M394"/>
    <mergeCell ref="N391:N394"/>
    <mergeCell ref="O391:O394"/>
    <mergeCell ref="P391:P394"/>
    <mergeCell ref="Q391:Q394"/>
    <mergeCell ref="R391:R394"/>
    <mergeCell ref="A385:O385"/>
    <mergeCell ref="P385:R385"/>
    <mergeCell ref="D386:D389"/>
    <mergeCell ref="E386:E389"/>
    <mergeCell ref="F386:F389"/>
    <mergeCell ref="G386:G389"/>
    <mergeCell ref="H386:H389"/>
    <mergeCell ref="I386:I389"/>
    <mergeCell ref="J386:J389"/>
    <mergeCell ref="K386:K389"/>
    <mergeCell ref="L386:L389"/>
    <mergeCell ref="M386:M389"/>
    <mergeCell ref="N386:N389"/>
    <mergeCell ref="O386:O389"/>
    <mergeCell ref="P386:P389"/>
    <mergeCell ref="Q386:Q389"/>
    <mergeCell ref="R386:R389"/>
    <mergeCell ref="A380:O380"/>
    <mergeCell ref="P380:R380"/>
    <mergeCell ref="D381:D384"/>
    <mergeCell ref="E381:E384"/>
    <mergeCell ref="F381:F384"/>
    <mergeCell ref="G381:G384"/>
    <mergeCell ref="H381:H384"/>
    <mergeCell ref="I381:I384"/>
    <mergeCell ref="J381:J384"/>
    <mergeCell ref="K381:K384"/>
    <mergeCell ref="L381:L384"/>
    <mergeCell ref="M381:M384"/>
    <mergeCell ref="N381:N384"/>
    <mergeCell ref="O381:O384"/>
    <mergeCell ref="P381:P384"/>
    <mergeCell ref="Q381:Q384"/>
    <mergeCell ref="R381:R384"/>
    <mergeCell ref="A375:O375"/>
    <mergeCell ref="P375:R375"/>
    <mergeCell ref="D376:D379"/>
    <mergeCell ref="E376:E379"/>
    <mergeCell ref="F376:F379"/>
    <mergeCell ref="G376:G379"/>
    <mergeCell ref="H376:H379"/>
    <mergeCell ref="I376:I379"/>
    <mergeCell ref="J376:J379"/>
    <mergeCell ref="K376:K379"/>
    <mergeCell ref="L376:L379"/>
    <mergeCell ref="M376:M379"/>
    <mergeCell ref="N376:N379"/>
    <mergeCell ref="O376:O379"/>
    <mergeCell ref="P376:P379"/>
    <mergeCell ref="Q376:Q379"/>
    <mergeCell ref="R376:R379"/>
    <mergeCell ref="A370:O370"/>
    <mergeCell ref="P370:R370"/>
    <mergeCell ref="D371:D374"/>
    <mergeCell ref="E371:E374"/>
    <mergeCell ref="F371:F374"/>
    <mergeCell ref="G371:G374"/>
    <mergeCell ref="H371:H374"/>
    <mergeCell ref="I371:I374"/>
    <mergeCell ref="J371:J374"/>
    <mergeCell ref="K371:K374"/>
    <mergeCell ref="L371:L374"/>
    <mergeCell ref="M371:M374"/>
    <mergeCell ref="N371:N374"/>
    <mergeCell ref="O371:O374"/>
    <mergeCell ref="P371:P374"/>
    <mergeCell ref="Q371:Q374"/>
    <mergeCell ref="R371:R374"/>
    <mergeCell ref="A365:O365"/>
    <mergeCell ref="P365:R365"/>
    <mergeCell ref="D366:D369"/>
    <mergeCell ref="E366:E369"/>
    <mergeCell ref="F366:F369"/>
    <mergeCell ref="G366:G369"/>
    <mergeCell ref="H366:H369"/>
    <mergeCell ref="I366:I369"/>
    <mergeCell ref="J366:J369"/>
    <mergeCell ref="K366:K369"/>
    <mergeCell ref="L366:L369"/>
    <mergeCell ref="M366:M369"/>
    <mergeCell ref="N366:N369"/>
    <mergeCell ref="O366:O369"/>
    <mergeCell ref="P366:P369"/>
    <mergeCell ref="Q366:Q369"/>
    <mergeCell ref="R366:R369"/>
    <mergeCell ref="A359:R359"/>
    <mergeCell ref="A360:O360"/>
    <mergeCell ref="P360:R360"/>
    <mergeCell ref="D361:D364"/>
    <mergeCell ref="E361:E364"/>
    <mergeCell ref="F361:F364"/>
    <mergeCell ref="G361:G364"/>
    <mergeCell ref="H361:H364"/>
    <mergeCell ref="I361:I364"/>
    <mergeCell ref="J361:J364"/>
    <mergeCell ref="K361:K364"/>
    <mergeCell ref="L361:L364"/>
    <mergeCell ref="M361:M364"/>
    <mergeCell ref="N361:N364"/>
    <mergeCell ref="O361:O364"/>
    <mergeCell ref="P361:P364"/>
    <mergeCell ref="Q361:Q364"/>
    <mergeCell ref="R361:R364"/>
    <mergeCell ref="A353:O353"/>
    <mergeCell ref="P353:R353"/>
    <mergeCell ref="D354:D358"/>
    <mergeCell ref="E354:E358"/>
    <mergeCell ref="F354:F358"/>
    <mergeCell ref="G354:G358"/>
    <mergeCell ref="H354:H358"/>
    <mergeCell ref="I354:I358"/>
    <mergeCell ref="J354:J358"/>
    <mergeCell ref="K354:K358"/>
    <mergeCell ref="L354:L358"/>
    <mergeCell ref="M354:M358"/>
    <mergeCell ref="N354:N358"/>
    <mergeCell ref="O354:O358"/>
    <mergeCell ref="P354:P358"/>
    <mergeCell ref="Q354:Q358"/>
    <mergeCell ref="R354:R358"/>
    <mergeCell ref="A347:O347"/>
    <mergeCell ref="P347:R347"/>
    <mergeCell ref="D348:D352"/>
    <mergeCell ref="E348:E352"/>
    <mergeCell ref="F348:F352"/>
    <mergeCell ref="G348:G352"/>
    <mergeCell ref="H348:H352"/>
    <mergeCell ref="I348:I352"/>
    <mergeCell ref="J348:J352"/>
    <mergeCell ref="K348:K352"/>
    <mergeCell ref="L348:L352"/>
    <mergeCell ref="M348:M352"/>
    <mergeCell ref="N348:N352"/>
    <mergeCell ref="O348:O352"/>
    <mergeCell ref="P348:P352"/>
    <mergeCell ref="Q348:Q352"/>
    <mergeCell ref="R348:R352"/>
    <mergeCell ref="A341:O341"/>
    <mergeCell ref="P341:R341"/>
    <mergeCell ref="D342:D346"/>
    <mergeCell ref="E342:E346"/>
    <mergeCell ref="F342:F346"/>
    <mergeCell ref="G342:G346"/>
    <mergeCell ref="H342:H346"/>
    <mergeCell ref="I342:I346"/>
    <mergeCell ref="J342:J346"/>
    <mergeCell ref="K342:K346"/>
    <mergeCell ref="L342:L346"/>
    <mergeCell ref="M342:M346"/>
    <mergeCell ref="N342:N346"/>
    <mergeCell ref="O342:O346"/>
    <mergeCell ref="P342:P346"/>
    <mergeCell ref="Q342:Q346"/>
    <mergeCell ref="R342:R346"/>
    <mergeCell ref="A335:O335"/>
    <mergeCell ref="P335:R335"/>
    <mergeCell ref="D336:D340"/>
    <mergeCell ref="E336:E340"/>
    <mergeCell ref="F336:F340"/>
    <mergeCell ref="G336:G340"/>
    <mergeCell ref="H336:H340"/>
    <mergeCell ref="I336:I340"/>
    <mergeCell ref="J336:J340"/>
    <mergeCell ref="K336:K340"/>
    <mergeCell ref="L336:L340"/>
    <mergeCell ref="M336:M340"/>
    <mergeCell ref="N336:N340"/>
    <mergeCell ref="O336:O340"/>
    <mergeCell ref="P336:P340"/>
    <mergeCell ref="Q336:Q340"/>
    <mergeCell ref="R336:R340"/>
    <mergeCell ref="A329:O329"/>
    <mergeCell ref="P329:R329"/>
    <mergeCell ref="D330:D334"/>
    <mergeCell ref="E330:E334"/>
    <mergeCell ref="F330:F334"/>
    <mergeCell ref="G330:G334"/>
    <mergeCell ref="H330:H334"/>
    <mergeCell ref="I330:I334"/>
    <mergeCell ref="J330:J334"/>
    <mergeCell ref="K330:K334"/>
    <mergeCell ref="L330:L334"/>
    <mergeCell ref="M330:M334"/>
    <mergeCell ref="N330:N334"/>
    <mergeCell ref="O330:O334"/>
    <mergeCell ref="P330:P334"/>
    <mergeCell ref="Q330:Q334"/>
    <mergeCell ref="R330:R334"/>
    <mergeCell ref="A323:O323"/>
    <mergeCell ref="P323:R323"/>
    <mergeCell ref="D324:D328"/>
    <mergeCell ref="E324:E328"/>
    <mergeCell ref="F324:F328"/>
    <mergeCell ref="G324:G328"/>
    <mergeCell ref="H324:H328"/>
    <mergeCell ref="I324:I328"/>
    <mergeCell ref="J324:J328"/>
    <mergeCell ref="K324:K328"/>
    <mergeCell ref="L324:L328"/>
    <mergeCell ref="M324:M328"/>
    <mergeCell ref="N324:N328"/>
    <mergeCell ref="O324:O328"/>
    <mergeCell ref="P324:P328"/>
    <mergeCell ref="Q324:Q328"/>
    <mergeCell ref="R324:R328"/>
    <mergeCell ref="A317:O317"/>
    <mergeCell ref="P317:R317"/>
    <mergeCell ref="D318:D322"/>
    <mergeCell ref="E318:E322"/>
    <mergeCell ref="F318:F322"/>
    <mergeCell ref="G318:G322"/>
    <mergeCell ref="H318:H322"/>
    <mergeCell ref="I318:I322"/>
    <mergeCell ref="J318:J322"/>
    <mergeCell ref="K318:K322"/>
    <mergeCell ref="L318:L322"/>
    <mergeCell ref="M318:M322"/>
    <mergeCell ref="N318:N322"/>
    <mergeCell ref="O318:O322"/>
    <mergeCell ref="P318:P322"/>
    <mergeCell ref="Q318:Q322"/>
    <mergeCell ref="R318:R322"/>
    <mergeCell ref="A311:O311"/>
    <mergeCell ref="P311:R311"/>
    <mergeCell ref="D312:D316"/>
    <mergeCell ref="E312:E316"/>
    <mergeCell ref="F312:F316"/>
    <mergeCell ref="G312:G316"/>
    <mergeCell ref="H312:H316"/>
    <mergeCell ref="I312:I316"/>
    <mergeCell ref="J312:J316"/>
    <mergeCell ref="K312:K316"/>
    <mergeCell ref="L312:L316"/>
    <mergeCell ref="M312:M316"/>
    <mergeCell ref="N312:N316"/>
    <mergeCell ref="O312:O316"/>
    <mergeCell ref="P312:P316"/>
    <mergeCell ref="Q312:Q316"/>
    <mergeCell ref="R312:R316"/>
    <mergeCell ref="A305:O305"/>
    <mergeCell ref="P305:R305"/>
    <mergeCell ref="D306:D310"/>
    <mergeCell ref="E306:E310"/>
    <mergeCell ref="F306:F310"/>
    <mergeCell ref="G306:G310"/>
    <mergeCell ref="H306:H310"/>
    <mergeCell ref="I306:I310"/>
    <mergeCell ref="J306:J310"/>
    <mergeCell ref="K306:K310"/>
    <mergeCell ref="L306:L310"/>
    <mergeCell ref="M306:M310"/>
    <mergeCell ref="N306:N310"/>
    <mergeCell ref="O306:O310"/>
    <mergeCell ref="P306:P310"/>
    <mergeCell ref="Q306:Q310"/>
    <mergeCell ref="R306:R310"/>
    <mergeCell ref="A299:O299"/>
    <mergeCell ref="P299:R299"/>
    <mergeCell ref="D300:D304"/>
    <mergeCell ref="E300:E304"/>
    <mergeCell ref="F300:F304"/>
    <mergeCell ref="G300:G304"/>
    <mergeCell ref="H300:H304"/>
    <mergeCell ref="I300:I304"/>
    <mergeCell ref="J300:J304"/>
    <mergeCell ref="K300:K304"/>
    <mergeCell ref="L300:L304"/>
    <mergeCell ref="M300:M304"/>
    <mergeCell ref="N300:N304"/>
    <mergeCell ref="O300:O304"/>
    <mergeCell ref="P300:P304"/>
    <mergeCell ref="Q300:Q304"/>
    <mergeCell ref="R300:R304"/>
    <mergeCell ref="A292:R292"/>
    <mergeCell ref="A293:O293"/>
    <mergeCell ref="P293:R293"/>
    <mergeCell ref="D294:D298"/>
    <mergeCell ref="E294:E298"/>
    <mergeCell ref="F294:F298"/>
    <mergeCell ref="G294:G298"/>
    <mergeCell ref="H294:H298"/>
    <mergeCell ref="I294:I298"/>
    <mergeCell ref="J294:J298"/>
    <mergeCell ref="K294:K298"/>
    <mergeCell ref="L294:L298"/>
    <mergeCell ref="M294:M298"/>
    <mergeCell ref="N294:N298"/>
    <mergeCell ref="O294:O298"/>
    <mergeCell ref="P294:P298"/>
    <mergeCell ref="Q294:Q298"/>
    <mergeCell ref="R294:R298"/>
    <mergeCell ref="A287:O287"/>
    <mergeCell ref="P287:R287"/>
    <mergeCell ref="D288:D291"/>
    <mergeCell ref="E288:E291"/>
    <mergeCell ref="F288:F291"/>
    <mergeCell ref="G288:G291"/>
    <mergeCell ref="H288:H291"/>
    <mergeCell ref="I288:I291"/>
    <mergeCell ref="J288:J291"/>
    <mergeCell ref="K288:K291"/>
    <mergeCell ref="L288:L291"/>
    <mergeCell ref="M288:M291"/>
    <mergeCell ref="N288:N291"/>
    <mergeCell ref="O288:O291"/>
    <mergeCell ref="P288:P291"/>
    <mergeCell ref="Q288:Q291"/>
    <mergeCell ref="R288:R291"/>
    <mergeCell ref="A282:O282"/>
    <mergeCell ref="P282:R282"/>
    <mergeCell ref="D283:D286"/>
    <mergeCell ref="E283:E286"/>
    <mergeCell ref="F283:F286"/>
    <mergeCell ref="G283:G286"/>
    <mergeCell ref="H283:H286"/>
    <mergeCell ref="I283:I286"/>
    <mergeCell ref="J283:J286"/>
    <mergeCell ref="K283:K286"/>
    <mergeCell ref="L283:L286"/>
    <mergeCell ref="M283:M286"/>
    <mergeCell ref="N283:N286"/>
    <mergeCell ref="O283:O286"/>
    <mergeCell ref="P283:P286"/>
    <mergeCell ref="Q283:Q286"/>
    <mergeCell ref="R283:R286"/>
    <mergeCell ref="A277:O277"/>
    <mergeCell ref="P277:R277"/>
    <mergeCell ref="D278:D281"/>
    <mergeCell ref="E278:E281"/>
    <mergeCell ref="F278:F281"/>
    <mergeCell ref="G278:G281"/>
    <mergeCell ref="H278:H281"/>
    <mergeCell ref="I278:I281"/>
    <mergeCell ref="J278:J281"/>
    <mergeCell ref="K278:K281"/>
    <mergeCell ref="L278:L281"/>
    <mergeCell ref="M278:M281"/>
    <mergeCell ref="N278:N281"/>
    <mergeCell ref="O278:O281"/>
    <mergeCell ref="P278:P281"/>
    <mergeCell ref="Q278:Q281"/>
    <mergeCell ref="R278:R281"/>
    <mergeCell ref="A272:O272"/>
    <mergeCell ref="P272:R272"/>
    <mergeCell ref="D273:D276"/>
    <mergeCell ref="E273:E276"/>
    <mergeCell ref="F273:F276"/>
    <mergeCell ref="G273:G276"/>
    <mergeCell ref="H273:H276"/>
    <mergeCell ref="I273:I276"/>
    <mergeCell ref="J273:J276"/>
    <mergeCell ref="K273:K276"/>
    <mergeCell ref="L273:L276"/>
    <mergeCell ref="M273:M276"/>
    <mergeCell ref="N273:N276"/>
    <mergeCell ref="O273:O276"/>
    <mergeCell ref="P273:P276"/>
    <mergeCell ref="Q273:Q276"/>
    <mergeCell ref="R273:R276"/>
    <mergeCell ref="A267:O267"/>
    <mergeCell ref="P267:R267"/>
    <mergeCell ref="D268:D271"/>
    <mergeCell ref="E268:E271"/>
    <mergeCell ref="F268:F271"/>
    <mergeCell ref="G268:G271"/>
    <mergeCell ref="H268:H271"/>
    <mergeCell ref="I268:I271"/>
    <mergeCell ref="J268:J271"/>
    <mergeCell ref="K268:K271"/>
    <mergeCell ref="L268:L271"/>
    <mergeCell ref="M268:M271"/>
    <mergeCell ref="N268:N271"/>
    <mergeCell ref="O268:O271"/>
    <mergeCell ref="P268:P271"/>
    <mergeCell ref="Q268:Q271"/>
    <mergeCell ref="R268:R271"/>
    <mergeCell ref="A262:O262"/>
    <mergeCell ref="P262:R262"/>
    <mergeCell ref="D263:D266"/>
    <mergeCell ref="E263:E266"/>
    <mergeCell ref="F263:F266"/>
    <mergeCell ref="G263:G266"/>
    <mergeCell ref="H263:H266"/>
    <mergeCell ref="I263:I266"/>
    <mergeCell ref="J263:J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A257:O257"/>
    <mergeCell ref="P257:R257"/>
    <mergeCell ref="D258:D261"/>
    <mergeCell ref="E258:E261"/>
    <mergeCell ref="F258:F261"/>
    <mergeCell ref="G258:G261"/>
    <mergeCell ref="H258:H261"/>
    <mergeCell ref="I258:I261"/>
    <mergeCell ref="J258:J261"/>
    <mergeCell ref="K258:K261"/>
    <mergeCell ref="L258:L261"/>
    <mergeCell ref="M258:M261"/>
    <mergeCell ref="N258:N261"/>
    <mergeCell ref="O258:O261"/>
    <mergeCell ref="P258:P261"/>
    <mergeCell ref="Q258:Q261"/>
    <mergeCell ref="R258:R261"/>
    <mergeCell ref="A252:O252"/>
    <mergeCell ref="P252:R252"/>
    <mergeCell ref="D253:D256"/>
    <mergeCell ref="E253:E256"/>
    <mergeCell ref="F253:F256"/>
    <mergeCell ref="G253:G256"/>
    <mergeCell ref="H253:H256"/>
    <mergeCell ref="I253:I256"/>
    <mergeCell ref="J253:J256"/>
    <mergeCell ref="K253:K256"/>
    <mergeCell ref="L253:L256"/>
    <mergeCell ref="M253:M256"/>
    <mergeCell ref="N253:N256"/>
    <mergeCell ref="O253:O256"/>
    <mergeCell ref="P253:P256"/>
    <mergeCell ref="Q253:Q256"/>
    <mergeCell ref="R253:R256"/>
    <mergeCell ref="A247:O247"/>
    <mergeCell ref="P247:R247"/>
    <mergeCell ref="D248:D251"/>
    <mergeCell ref="E248:E251"/>
    <mergeCell ref="F248:F251"/>
    <mergeCell ref="G248:G251"/>
    <mergeCell ref="H248:H251"/>
    <mergeCell ref="I248:I251"/>
    <mergeCell ref="J248:J251"/>
    <mergeCell ref="K248:K251"/>
    <mergeCell ref="L248:L251"/>
    <mergeCell ref="M248:M251"/>
    <mergeCell ref="N248:N251"/>
    <mergeCell ref="O248:O251"/>
    <mergeCell ref="P248:P251"/>
    <mergeCell ref="Q248:Q251"/>
    <mergeCell ref="R248:R251"/>
    <mergeCell ref="A242:O242"/>
    <mergeCell ref="P242:R242"/>
    <mergeCell ref="D243:D246"/>
    <mergeCell ref="E243:E246"/>
    <mergeCell ref="F243:F246"/>
    <mergeCell ref="G243:G246"/>
    <mergeCell ref="H243:H246"/>
    <mergeCell ref="I243:I246"/>
    <mergeCell ref="J243:J246"/>
    <mergeCell ref="K243:K246"/>
    <mergeCell ref="L243:L246"/>
    <mergeCell ref="M243:M246"/>
    <mergeCell ref="N243:N246"/>
    <mergeCell ref="O243:O246"/>
    <mergeCell ref="P243:P246"/>
    <mergeCell ref="Q243:Q246"/>
    <mergeCell ref="R243:R246"/>
    <mergeCell ref="A237:O237"/>
    <mergeCell ref="P237:R237"/>
    <mergeCell ref="D238:D241"/>
    <mergeCell ref="E238:E241"/>
    <mergeCell ref="F238:F241"/>
    <mergeCell ref="G238:G241"/>
    <mergeCell ref="H238:H241"/>
    <mergeCell ref="I238:I241"/>
    <mergeCell ref="J238:J241"/>
    <mergeCell ref="K238:K241"/>
    <mergeCell ref="L238:L241"/>
    <mergeCell ref="M238:M241"/>
    <mergeCell ref="N238:N241"/>
    <mergeCell ref="O238:O241"/>
    <mergeCell ref="P238:P241"/>
    <mergeCell ref="Q238:Q241"/>
    <mergeCell ref="R238:R241"/>
    <mergeCell ref="A231:R231"/>
    <mergeCell ref="A232:O232"/>
    <mergeCell ref="P232:R232"/>
    <mergeCell ref="D233:D236"/>
    <mergeCell ref="E233:E236"/>
    <mergeCell ref="F233:F236"/>
    <mergeCell ref="G233:G236"/>
    <mergeCell ref="H233:H236"/>
    <mergeCell ref="I233:I236"/>
    <mergeCell ref="J233:J236"/>
    <mergeCell ref="K233:K236"/>
    <mergeCell ref="L233:L236"/>
    <mergeCell ref="M233:M236"/>
    <mergeCell ref="N233:N236"/>
    <mergeCell ref="O233:O236"/>
    <mergeCell ref="P233:P236"/>
    <mergeCell ref="Q233:Q236"/>
    <mergeCell ref="R233:R236"/>
    <mergeCell ref="A227:O227"/>
    <mergeCell ref="P227:R227"/>
    <mergeCell ref="D228:D230"/>
    <mergeCell ref="E228:E230"/>
    <mergeCell ref="F228:F230"/>
    <mergeCell ref="G228:G230"/>
    <mergeCell ref="H228:H230"/>
    <mergeCell ref="I228:I230"/>
    <mergeCell ref="J228:J230"/>
    <mergeCell ref="K228:K230"/>
    <mergeCell ref="L228:L230"/>
    <mergeCell ref="M228:M230"/>
    <mergeCell ref="N228:N230"/>
    <mergeCell ref="O228:O230"/>
    <mergeCell ref="P228:P230"/>
    <mergeCell ref="Q228:Q230"/>
    <mergeCell ref="R228:R230"/>
    <mergeCell ref="A224:O224"/>
    <mergeCell ref="P224:R224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A221:O221"/>
    <mergeCell ref="P221:R221"/>
    <mergeCell ref="D222:D223"/>
    <mergeCell ref="E222:E223"/>
    <mergeCell ref="F222:F223"/>
    <mergeCell ref="G222:G223"/>
    <mergeCell ref="H222:H223"/>
    <mergeCell ref="I222:I223"/>
    <mergeCell ref="J222:J223"/>
    <mergeCell ref="K222:K223"/>
    <mergeCell ref="L222:L223"/>
    <mergeCell ref="M222:M223"/>
    <mergeCell ref="N222:N223"/>
    <mergeCell ref="O222:O223"/>
    <mergeCell ref="P222:P223"/>
    <mergeCell ref="Q222:Q223"/>
    <mergeCell ref="R222:R223"/>
    <mergeCell ref="A218:O218"/>
    <mergeCell ref="P218:R218"/>
    <mergeCell ref="D219:D220"/>
    <mergeCell ref="E219:E220"/>
    <mergeCell ref="F219:F220"/>
    <mergeCell ref="G219:G220"/>
    <mergeCell ref="H219:H220"/>
    <mergeCell ref="I219:I220"/>
    <mergeCell ref="J219:J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A214:O214"/>
    <mergeCell ref="P214:R214"/>
    <mergeCell ref="D215:D217"/>
    <mergeCell ref="E215:E217"/>
    <mergeCell ref="F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O215:O217"/>
    <mergeCell ref="P215:P217"/>
    <mergeCell ref="Q215:Q217"/>
    <mergeCell ref="R215:R217"/>
    <mergeCell ref="A210:O210"/>
    <mergeCell ref="P210:R210"/>
    <mergeCell ref="D211:D213"/>
    <mergeCell ref="E211:E213"/>
    <mergeCell ref="F211:F213"/>
    <mergeCell ref="G211:G213"/>
    <mergeCell ref="H211:H213"/>
    <mergeCell ref="I211:I213"/>
    <mergeCell ref="J211:J213"/>
    <mergeCell ref="K211:K213"/>
    <mergeCell ref="L211:L213"/>
    <mergeCell ref="M211:M213"/>
    <mergeCell ref="N211:N213"/>
    <mergeCell ref="O211:O213"/>
    <mergeCell ref="P211:P213"/>
    <mergeCell ref="Q211:Q213"/>
    <mergeCell ref="R211:R213"/>
    <mergeCell ref="A206:O206"/>
    <mergeCell ref="P206:R206"/>
    <mergeCell ref="D207:D209"/>
    <mergeCell ref="E207:E209"/>
    <mergeCell ref="F207:F209"/>
    <mergeCell ref="G207:G209"/>
    <mergeCell ref="H207:H209"/>
    <mergeCell ref="I207:I209"/>
    <mergeCell ref="J207:J209"/>
    <mergeCell ref="K207:K209"/>
    <mergeCell ref="L207:L209"/>
    <mergeCell ref="M207:M209"/>
    <mergeCell ref="N207:N209"/>
    <mergeCell ref="O207:O209"/>
    <mergeCell ref="P207:P209"/>
    <mergeCell ref="Q207:Q209"/>
    <mergeCell ref="R207:R209"/>
    <mergeCell ref="A202:O202"/>
    <mergeCell ref="P202:R202"/>
    <mergeCell ref="D203:D205"/>
    <mergeCell ref="E203:E205"/>
    <mergeCell ref="F203:F205"/>
    <mergeCell ref="G203:G205"/>
    <mergeCell ref="H203:H205"/>
    <mergeCell ref="I203:I205"/>
    <mergeCell ref="J203:J205"/>
    <mergeCell ref="K203:K205"/>
    <mergeCell ref="L203:L205"/>
    <mergeCell ref="M203:M205"/>
    <mergeCell ref="N203:N205"/>
    <mergeCell ref="O203:O205"/>
    <mergeCell ref="P203:P205"/>
    <mergeCell ref="Q203:Q205"/>
    <mergeCell ref="R203:R205"/>
    <mergeCell ref="A198:O198"/>
    <mergeCell ref="P198:R198"/>
    <mergeCell ref="D199:D201"/>
    <mergeCell ref="E199:E201"/>
    <mergeCell ref="F199:F201"/>
    <mergeCell ref="G199:G201"/>
    <mergeCell ref="H199:H201"/>
    <mergeCell ref="I199:I201"/>
    <mergeCell ref="J199:J201"/>
    <mergeCell ref="K199:K201"/>
    <mergeCell ref="L199:L201"/>
    <mergeCell ref="M199:M201"/>
    <mergeCell ref="N199:N201"/>
    <mergeCell ref="O199:O201"/>
    <mergeCell ref="P199:P201"/>
    <mergeCell ref="Q199:Q201"/>
    <mergeCell ref="R199:R201"/>
    <mergeCell ref="A194:O194"/>
    <mergeCell ref="P194:R194"/>
    <mergeCell ref="D195:D197"/>
    <mergeCell ref="E195:E197"/>
    <mergeCell ref="F195:F197"/>
    <mergeCell ref="G195:G197"/>
    <mergeCell ref="H195:H197"/>
    <mergeCell ref="I195:I197"/>
    <mergeCell ref="J195:J197"/>
    <mergeCell ref="K195:K197"/>
    <mergeCell ref="L195:L197"/>
    <mergeCell ref="M195:M197"/>
    <mergeCell ref="N195:N197"/>
    <mergeCell ref="O195:O197"/>
    <mergeCell ref="P195:P197"/>
    <mergeCell ref="Q195:Q197"/>
    <mergeCell ref="R195:R197"/>
    <mergeCell ref="A189:R189"/>
    <mergeCell ref="A190:O190"/>
    <mergeCell ref="P190:R190"/>
    <mergeCell ref="D191:D193"/>
    <mergeCell ref="E191:E193"/>
    <mergeCell ref="F191:F193"/>
    <mergeCell ref="G191:G193"/>
    <mergeCell ref="H191:H193"/>
    <mergeCell ref="I191:I193"/>
    <mergeCell ref="J191:J193"/>
    <mergeCell ref="K191:K193"/>
    <mergeCell ref="L191:L193"/>
    <mergeCell ref="M191:M193"/>
    <mergeCell ref="N191:N193"/>
    <mergeCell ref="O191:O193"/>
    <mergeCell ref="P191:P193"/>
    <mergeCell ref="Q191:Q193"/>
    <mergeCell ref="R191:R193"/>
    <mergeCell ref="A184:O184"/>
    <mergeCell ref="P184:R184"/>
    <mergeCell ref="D185:D188"/>
    <mergeCell ref="E185:E188"/>
    <mergeCell ref="F185:F188"/>
    <mergeCell ref="G185:G188"/>
    <mergeCell ref="H185:H188"/>
    <mergeCell ref="I185:I188"/>
    <mergeCell ref="J185:J188"/>
    <mergeCell ref="K185:K188"/>
    <mergeCell ref="L185:L188"/>
    <mergeCell ref="M185:M188"/>
    <mergeCell ref="N185:N188"/>
    <mergeCell ref="O185:O188"/>
    <mergeCell ref="P185:P188"/>
    <mergeCell ref="Q185:Q188"/>
    <mergeCell ref="R185:R188"/>
    <mergeCell ref="A179:O179"/>
    <mergeCell ref="P179:R179"/>
    <mergeCell ref="D180:D183"/>
    <mergeCell ref="E180:E183"/>
    <mergeCell ref="F180:F183"/>
    <mergeCell ref="G180:G183"/>
    <mergeCell ref="H180:H183"/>
    <mergeCell ref="I180:I183"/>
    <mergeCell ref="J180:J183"/>
    <mergeCell ref="K180:K183"/>
    <mergeCell ref="L180:L183"/>
    <mergeCell ref="M180:M183"/>
    <mergeCell ref="N180:N183"/>
    <mergeCell ref="O180:O183"/>
    <mergeCell ref="P180:P183"/>
    <mergeCell ref="Q180:Q183"/>
    <mergeCell ref="R180:R183"/>
    <mergeCell ref="A174:O174"/>
    <mergeCell ref="P174:R174"/>
    <mergeCell ref="D175:D178"/>
    <mergeCell ref="E175:E178"/>
    <mergeCell ref="F175:F178"/>
    <mergeCell ref="G175:G178"/>
    <mergeCell ref="H175:H178"/>
    <mergeCell ref="I175:I178"/>
    <mergeCell ref="J175:J178"/>
    <mergeCell ref="K175:K178"/>
    <mergeCell ref="L175:L178"/>
    <mergeCell ref="M175:M178"/>
    <mergeCell ref="N175:N178"/>
    <mergeCell ref="O175:O178"/>
    <mergeCell ref="P175:P178"/>
    <mergeCell ref="Q175:Q178"/>
    <mergeCell ref="R175:R178"/>
    <mergeCell ref="A169:O169"/>
    <mergeCell ref="P169:R169"/>
    <mergeCell ref="D170:D173"/>
    <mergeCell ref="E170:E173"/>
    <mergeCell ref="F170:F173"/>
    <mergeCell ref="G170:G173"/>
    <mergeCell ref="H170:H173"/>
    <mergeCell ref="I170:I173"/>
    <mergeCell ref="J170:J173"/>
    <mergeCell ref="K170:K173"/>
    <mergeCell ref="L170:L173"/>
    <mergeCell ref="M170:M173"/>
    <mergeCell ref="N170:N173"/>
    <mergeCell ref="O170:O173"/>
    <mergeCell ref="P170:P173"/>
    <mergeCell ref="Q170:Q173"/>
    <mergeCell ref="R170:R173"/>
    <mergeCell ref="A164:O164"/>
    <mergeCell ref="P164:R164"/>
    <mergeCell ref="D165:D168"/>
    <mergeCell ref="E165:E168"/>
    <mergeCell ref="F165:F168"/>
    <mergeCell ref="G165:G168"/>
    <mergeCell ref="H165:H168"/>
    <mergeCell ref="I165:I168"/>
    <mergeCell ref="J165:J168"/>
    <mergeCell ref="K165:K168"/>
    <mergeCell ref="L165:L168"/>
    <mergeCell ref="M165:M168"/>
    <mergeCell ref="N165:N168"/>
    <mergeCell ref="O165:O168"/>
    <mergeCell ref="P165:P168"/>
    <mergeCell ref="Q165:Q168"/>
    <mergeCell ref="R165:R168"/>
    <mergeCell ref="A159:O159"/>
    <mergeCell ref="P159:R159"/>
    <mergeCell ref="D160:D163"/>
    <mergeCell ref="E160:E163"/>
    <mergeCell ref="F160:F163"/>
    <mergeCell ref="G160:G163"/>
    <mergeCell ref="H160:H163"/>
    <mergeCell ref="I160:I163"/>
    <mergeCell ref="J160:J163"/>
    <mergeCell ref="K160:K163"/>
    <mergeCell ref="L160:L163"/>
    <mergeCell ref="M160:M163"/>
    <mergeCell ref="N160:N163"/>
    <mergeCell ref="O160:O163"/>
    <mergeCell ref="P160:P163"/>
    <mergeCell ref="Q160:Q163"/>
    <mergeCell ref="R160:R163"/>
    <mergeCell ref="A154:O154"/>
    <mergeCell ref="P154:R154"/>
    <mergeCell ref="D155:D158"/>
    <mergeCell ref="E155:E158"/>
    <mergeCell ref="F155:F158"/>
    <mergeCell ref="G155:G158"/>
    <mergeCell ref="H155:H158"/>
    <mergeCell ref="I155:I158"/>
    <mergeCell ref="J155:J158"/>
    <mergeCell ref="K155:K158"/>
    <mergeCell ref="L155:L158"/>
    <mergeCell ref="M155:M158"/>
    <mergeCell ref="N155:N158"/>
    <mergeCell ref="O155:O158"/>
    <mergeCell ref="P155:P158"/>
    <mergeCell ref="Q155:Q158"/>
    <mergeCell ref="R155:R158"/>
    <mergeCell ref="A149:O149"/>
    <mergeCell ref="P149:R149"/>
    <mergeCell ref="D150:D153"/>
    <mergeCell ref="E150:E153"/>
    <mergeCell ref="F150:F153"/>
    <mergeCell ref="G150:G153"/>
    <mergeCell ref="H150:H153"/>
    <mergeCell ref="I150:I153"/>
    <mergeCell ref="J150:J153"/>
    <mergeCell ref="K150:K153"/>
    <mergeCell ref="L150:L153"/>
    <mergeCell ref="M150:M153"/>
    <mergeCell ref="N150:N153"/>
    <mergeCell ref="O150:O153"/>
    <mergeCell ref="P150:P153"/>
    <mergeCell ref="Q150:Q153"/>
    <mergeCell ref="R150:R153"/>
    <mergeCell ref="A144:O144"/>
    <mergeCell ref="P144:R144"/>
    <mergeCell ref="D145:D148"/>
    <mergeCell ref="E145:E148"/>
    <mergeCell ref="F145:F148"/>
    <mergeCell ref="G145:G148"/>
    <mergeCell ref="H145:H148"/>
    <mergeCell ref="I145:I148"/>
    <mergeCell ref="J145:J148"/>
    <mergeCell ref="K145:K148"/>
    <mergeCell ref="L145:L148"/>
    <mergeCell ref="M145:M148"/>
    <mergeCell ref="N145:N148"/>
    <mergeCell ref="O145:O148"/>
    <mergeCell ref="P145:P148"/>
    <mergeCell ref="Q145:Q148"/>
    <mergeCell ref="R145:R148"/>
    <mergeCell ref="A139:O139"/>
    <mergeCell ref="P139:R139"/>
    <mergeCell ref="D140:D143"/>
    <mergeCell ref="E140:E143"/>
    <mergeCell ref="F140:F143"/>
    <mergeCell ref="G140:G143"/>
    <mergeCell ref="H140:H143"/>
    <mergeCell ref="I140:I143"/>
    <mergeCell ref="J140:J143"/>
    <mergeCell ref="K140:K143"/>
    <mergeCell ref="L140:L143"/>
    <mergeCell ref="M140:M143"/>
    <mergeCell ref="N140:N143"/>
    <mergeCell ref="O140:O143"/>
    <mergeCell ref="P140:P143"/>
    <mergeCell ref="Q140:Q143"/>
    <mergeCell ref="R140:R143"/>
    <mergeCell ref="A134:O134"/>
    <mergeCell ref="P134:R134"/>
    <mergeCell ref="D135:D138"/>
    <mergeCell ref="E135:E138"/>
    <mergeCell ref="F135:F138"/>
    <mergeCell ref="G135:G138"/>
    <mergeCell ref="H135:H138"/>
    <mergeCell ref="I135:I138"/>
    <mergeCell ref="J135:J138"/>
    <mergeCell ref="K135:K138"/>
    <mergeCell ref="L135:L138"/>
    <mergeCell ref="M135:M138"/>
    <mergeCell ref="N135:N138"/>
    <mergeCell ref="O135:O138"/>
    <mergeCell ref="P135:P138"/>
    <mergeCell ref="Q135:Q138"/>
    <mergeCell ref="R135:R138"/>
    <mergeCell ref="A128:R128"/>
    <mergeCell ref="A129:O129"/>
    <mergeCell ref="P129:R129"/>
    <mergeCell ref="D130:D133"/>
    <mergeCell ref="E130:E133"/>
    <mergeCell ref="F130:F133"/>
    <mergeCell ref="G130:G133"/>
    <mergeCell ref="H130:H133"/>
    <mergeCell ref="I130:I133"/>
    <mergeCell ref="J130:J133"/>
    <mergeCell ref="K130:K133"/>
    <mergeCell ref="L130:L133"/>
    <mergeCell ref="M130:M133"/>
    <mergeCell ref="N130:N133"/>
    <mergeCell ref="O130:O133"/>
    <mergeCell ref="P130:P133"/>
    <mergeCell ref="Q130:Q133"/>
    <mergeCell ref="R130:R133"/>
    <mergeCell ref="A123:O123"/>
    <mergeCell ref="P123:R123"/>
    <mergeCell ref="D124:D127"/>
    <mergeCell ref="E124:E127"/>
    <mergeCell ref="F124:F127"/>
    <mergeCell ref="G124:G127"/>
    <mergeCell ref="H124:H127"/>
    <mergeCell ref="I124:I127"/>
    <mergeCell ref="J124:J127"/>
    <mergeCell ref="K124:K127"/>
    <mergeCell ref="L124:L127"/>
    <mergeCell ref="M124:M127"/>
    <mergeCell ref="N124:N127"/>
    <mergeCell ref="O124:O127"/>
    <mergeCell ref="P124:P127"/>
    <mergeCell ref="Q124:Q127"/>
    <mergeCell ref="R124:R127"/>
    <mergeCell ref="A118:O118"/>
    <mergeCell ref="P118:R118"/>
    <mergeCell ref="D119:D122"/>
    <mergeCell ref="E119:E122"/>
    <mergeCell ref="F119:F122"/>
    <mergeCell ref="G119:G122"/>
    <mergeCell ref="H119:H122"/>
    <mergeCell ref="I119:I122"/>
    <mergeCell ref="J119:J122"/>
    <mergeCell ref="K119:K122"/>
    <mergeCell ref="L119:L122"/>
    <mergeCell ref="M119:M122"/>
    <mergeCell ref="N119:N122"/>
    <mergeCell ref="O119:O122"/>
    <mergeCell ref="P119:P122"/>
    <mergeCell ref="Q119:Q122"/>
    <mergeCell ref="R119:R122"/>
    <mergeCell ref="A113:O113"/>
    <mergeCell ref="P113:R113"/>
    <mergeCell ref="D114:D117"/>
    <mergeCell ref="E114:E117"/>
    <mergeCell ref="F114:F117"/>
    <mergeCell ref="G114:G117"/>
    <mergeCell ref="H114:H117"/>
    <mergeCell ref="I114:I117"/>
    <mergeCell ref="J114:J117"/>
    <mergeCell ref="K114:K117"/>
    <mergeCell ref="L114:L117"/>
    <mergeCell ref="M114:M117"/>
    <mergeCell ref="N114:N117"/>
    <mergeCell ref="O114:O117"/>
    <mergeCell ref="P114:P117"/>
    <mergeCell ref="Q114:Q117"/>
    <mergeCell ref="R114:R117"/>
    <mergeCell ref="A108:O108"/>
    <mergeCell ref="P108:R108"/>
    <mergeCell ref="D109:D112"/>
    <mergeCell ref="E109:E112"/>
    <mergeCell ref="F109:F112"/>
    <mergeCell ref="G109:G112"/>
    <mergeCell ref="H109:H112"/>
    <mergeCell ref="I109:I112"/>
    <mergeCell ref="J109:J112"/>
    <mergeCell ref="K109:K112"/>
    <mergeCell ref="L109:L112"/>
    <mergeCell ref="M109:M112"/>
    <mergeCell ref="N109:N112"/>
    <mergeCell ref="O109:O112"/>
    <mergeCell ref="P109:P112"/>
    <mergeCell ref="Q109:Q112"/>
    <mergeCell ref="R109:R112"/>
    <mergeCell ref="A103:O103"/>
    <mergeCell ref="P103:R103"/>
    <mergeCell ref="D104:D107"/>
    <mergeCell ref="E104:E107"/>
    <mergeCell ref="F104:F107"/>
    <mergeCell ref="G104:G107"/>
    <mergeCell ref="H104:H107"/>
    <mergeCell ref="I104:I107"/>
    <mergeCell ref="J104:J107"/>
    <mergeCell ref="K104:K107"/>
    <mergeCell ref="L104:L107"/>
    <mergeCell ref="M104:M107"/>
    <mergeCell ref="N104:N107"/>
    <mergeCell ref="O104:O107"/>
    <mergeCell ref="P104:P107"/>
    <mergeCell ref="Q104:Q107"/>
    <mergeCell ref="R104:R107"/>
    <mergeCell ref="A98:O98"/>
    <mergeCell ref="P98:R98"/>
    <mergeCell ref="D99:D102"/>
    <mergeCell ref="E99:E102"/>
    <mergeCell ref="F99:F102"/>
    <mergeCell ref="G99:G102"/>
    <mergeCell ref="H99:H102"/>
    <mergeCell ref="I99:I102"/>
    <mergeCell ref="J99:J102"/>
    <mergeCell ref="K99:K102"/>
    <mergeCell ref="L99:L102"/>
    <mergeCell ref="M99:M102"/>
    <mergeCell ref="N99:N102"/>
    <mergeCell ref="O99:O102"/>
    <mergeCell ref="P99:P102"/>
    <mergeCell ref="Q99:Q102"/>
    <mergeCell ref="R99:R102"/>
    <mergeCell ref="A93:O93"/>
    <mergeCell ref="P93:R93"/>
    <mergeCell ref="D94:D97"/>
    <mergeCell ref="E94:E97"/>
    <mergeCell ref="F94:F97"/>
    <mergeCell ref="G94:G97"/>
    <mergeCell ref="H94:H97"/>
    <mergeCell ref="I94:I97"/>
    <mergeCell ref="J94:J97"/>
    <mergeCell ref="K94:K97"/>
    <mergeCell ref="L94:L97"/>
    <mergeCell ref="M94:M97"/>
    <mergeCell ref="N94:N97"/>
    <mergeCell ref="O94:O97"/>
    <mergeCell ref="P94:P97"/>
    <mergeCell ref="Q94:Q97"/>
    <mergeCell ref="R94:R97"/>
    <mergeCell ref="A88:O88"/>
    <mergeCell ref="P88:R88"/>
    <mergeCell ref="D89:D92"/>
    <mergeCell ref="E89:E92"/>
    <mergeCell ref="F89:F92"/>
    <mergeCell ref="G89:G92"/>
    <mergeCell ref="H89:H92"/>
    <mergeCell ref="I89:I92"/>
    <mergeCell ref="J89:J92"/>
    <mergeCell ref="K89:K92"/>
    <mergeCell ref="L89:L92"/>
    <mergeCell ref="M89:M92"/>
    <mergeCell ref="N89:N92"/>
    <mergeCell ref="O89:O92"/>
    <mergeCell ref="P89:P92"/>
    <mergeCell ref="Q89:Q92"/>
    <mergeCell ref="R89:R92"/>
    <mergeCell ref="A83:O83"/>
    <mergeCell ref="P83:R83"/>
    <mergeCell ref="D84:D87"/>
    <mergeCell ref="E84:E87"/>
    <mergeCell ref="F84:F87"/>
    <mergeCell ref="G84:G87"/>
    <mergeCell ref="H84:H87"/>
    <mergeCell ref="I84:I87"/>
    <mergeCell ref="J84:J87"/>
    <mergeCell ref="K84:K87"/>
    <mergeCell ref="L84:L87"/>
    <mergeCell ref="M84:M87"/>
    <mergeCell ref="N84:N87"/>
    <mergeCell ref="O84:O87"/>
    <mergeCell ref="P84:P87"/>
    <mergeCell ref="Q84:Q87"/>
    <mergeCell ref="R84:R87"/>
    <mergeCell ref="A78:O78"/>
    <mergeCell ref="P78:R78"/>
    <mergeCell ref="D79:D82"/>
    <mergeCell ref="E79:E82"/>
    <mergeCell ref="F79:F82"/>
    <mergeCell ref="G79:G82"/>
    <mergeCell ref="H79:H82"/>
    <mergeCell ref="I79:I82"/>
    <mergeCell ref="J79:J82"/>
    <mergeCell ref="K79:K82"/>
    <mergeCell ref="L79:L82"/>
    <mergeCell ref="M79:M82"/>
    <mergeCell ref="N79:N82"/>
    <mergeCell ref="O79:O82"/>
    <mergeCell ref="P79:P82"/>
    <mergeCell ref="Q79:Q82"/>
    <mergeCell ref="R79:R82"/>
    <mergeCell ref="A73:O73"/>
    <mergeCell ref="P73:R73"/>
    <mergeCell ref="D74:D77"/>
    <mergeCell ref="E74:E77"/>
    <mergeCell ref="F74:F77"/>
    <mergeCell ref="G74:G77"/>
    <mergeCell ref="H74:H77"/>
    <mergeCell ref="I74:I77"/>
    <mergeCell ref="J74:J77"/>
    <mergeCell ref="K74:K77"/>
    <mergeCell ref="L74:L77"/>
    <mergeCell ref="M74:M77"/>
    <mergeCell ref="N74:N77"/>
    <mergeCell ref="O74:O77"/>
    <mergeCell ref="P74:P77"/>
    <mergeCell ref="Q74:Q77"/>
    <mergeCell ref="R74:R77"/>
    <mergeCell ref="A68:O68"/>
    <mergeCell ref="P68:R68"/>
    <mergeCell ref="D69:D72"/>
    <mergeCell ref="E69:E72"/>
    <mergeCell ref="F69:F72"/>
    <mergeCell ref="G69:G72"/>
    <mergeCell ref="H69:H72"/>
    <mergeCell ref="I69:I72"/>
    <mergeCell ref="J69:J72"/>
    <mergeCell ref="K69:K72"/>
    <mergeCell ref="L69:L72"/>
    <mergeCell ref="M69:M72"/>
    <mergeCell ref="N69:N72"/>
    <mergeCell ref="O69:O72"/>
    <mergeCell ref="P69:P72"/>
    <mergeCell ref="Q69:Q72"/>
    <mergeCell ref="R69:R72"/>
    <mergeCell ref="A62:R62"/>
    <mergeCell ref="A63:O63"/>
    <mergeCell ref="P63:R63"/>
    <mergeCell ref="D64:D67"/>
    <mergeCell ref="E64:E67"/>
    <mergeCell ref="F64:F67"/>
    <mergeCell ref="G64:G67"/>
    <mergeCell ref="H64:H67"/>
    <mergeCell ref="I64:I67"/>
    <mergeCell ref="J64:J67"/>
    <mergeCell ref="K64:K67"/>
    <mergeCell ref="L64:L67"/>
    <mergeCell ref="M64:M67"/>
    <mergeCell ref="N64:N67"/>
    <mergeCell ref="O64:O67"/>
    <mergeCell ref="P64:P67"/>
    <mergeCell ref="Q64:Q67"/>
    <mergeCell ref="R64:R67"/>
    <mergeCell ref="A57:O57"/>
    <mergeCell ref="P57:R57"/>
    <mergeCell ref="D58:D61"/>
    <mergeCell ref="E58:E61"/>
    <mergeCell ref="F58:F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A52:O52"/>
    <mergeCell ref="P52:R52"/>
    <mergeCell ref="D53:D56"/>
    <mergeCell ref="E53:E56"/>
    <mergeCell ref="F53:F56"/>
    <mergeCell ref="G53:G56"/>
    <mergeCell ref="H53:H56"/>
    <mergeCell ref="I53:I56"/>
    <mergeCell ref="J53:J56"/>
    <mergeCell ref="K53:K56"/>
    <mergeCell ref="L53:L56"/>
    <mergeCell ref="M53:M56"/>
    <mergeCell ref="N53:N56"/>
    <mergeCell ref="O53:O56"/>
    <mergeCell ref="P53:P56"/>
    <mergeCell ref="Q53:Q56"/>
    <mergeCell ref="R53:R56"/>
    <mergeCell ref="A47:O47"/>
    <mergeCell ref="P47:R47"/>
    <mergeCell ref="D48:D51"/>
    <mergeCell ref="E48:E51"/>
    <mergeCell ref="F48:F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A42:O42"/>
    <mergeCell ref="P42:R42"/>
    <mergeCell ref="D43:D46"/>
    <mergeCell ref="E43:E46"/>
    <mergeCell ref="F43:F46"/>
    <mergeCell ref="G43:G46"/>
    <mergeCell ref="H43:H46"/>
    <mergeCell ref="I43:I46"/>
    <mergeCell ref="J43:J46"/>
    <mergeCell ref="K43:K46"/>
    <mergeCell ref="L43:L46"/>
    <mergeCell ref="M43:M46"/>
    <mergeCell ref="N43:N46"/>
    <mergeCell ref="O43:O46"/>
    <mergeCell ref="P43:P46"/>
    <mergeCell ref="Q43:Q46"/>
    <mergeCell ref="R43:R46"/>
    <mergeCell ref="A37:O37"/>
    <mergeCell ref="P37:R37"/>
    <mergeCell ref="D38:D41"/>
    <mergeCell ref="E38:E41"/>
    <mergeCell ref="F38:F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A32:O32"/>
    <mergeCell ref="P32:R32"/>
    <mergeCell ref="D33:D36"/>
    <mergeCell ref="E33:E36"/>
    <mergeCell ref="F33:F36"/>
    <mergeCell ref="G33:G36"/>
    <mergeCell ref="H33:H36"/>
    <mergeCell ref="I33:I36"/>
    <mergeCell ref="J33:J36"/>
    <mergeCell ref="K33:K36"/>
    <mergeCell ref="L33:L36"/>
    <mergeCell ref="M33:M36"/>
    <mergeCell ref="N33:N36"/>
    <mergeCell ref="O33:O36"/>
    <mergeCell ref="P33:P36"/>
    <mergeCell ref="Q33:Q36"/>
    <mergeCell ref="R33:R36"/>
    <mergeCell ref="A27:O27"/>
    <mergeCell ref="P27:R27"/>
    <mergeCell ref="D28:D31"/>
    <mergeCell ref="E28:E31"/>
    <mergeCell ref="F28:F31"/>
    <mergeCell ref="G28:G31"/>
    <mergeCell ref="H28:H31"/>
    <mergeCell ref="I28:I31"/>
    <mergeCell ref="J28:J31"/>
    <mergeCell ref="K28:K31"/>
    <mergeCell ref="L28:L31"/>
    <mergeCell ref="M28:M31"/>
    <mergeCell ref="N28:N31"/>
    <mergeCell ref="O28:O31"/>
    <mergeCell ref="P28:P31"/>
    <mergeCell ref="Q28:Q31"/>
    <mergeCell ref="R28:R31"/>
    <mergeCell ref="A22:O22"/>
    <mergeCell ref="P22:R22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M23:M26"/>
    <mergeCell ref="N23:N26"/>
    <mergeCell ref="O23:O26"/>
    <mergeCell ref="P23:P26"/>
    <mergeCell ref="Q23:Q26"/>
    <mergeCell ref="R23:R26"/>
    <mergeCell ref="A17:O17"/>
    <mergeCell ref="P17:R17"/>
    <mergeCell ref="D18:D21"/>
    <mergeCell ref="E18:E21"/>
    <mergeCell ref="F18:F21"/>
    <mergeCell ref="G18:G21"/>
    <mergeCell ref="H18:H21"/>
    <mergeCell ref="I18:I21"/>
    <mergeCell ref="J18:J21"/>
    <mergeCell ref="K18:K21"/>
    <mergeCell ref="L18:L21"/>
    <mergeCell ref="M18:M21"/>
    <mergeCell ref="N18:N21"/>
    <mergeCell ref="O18:O21"/>
    <mergeCell ref="P18:P21"/>
    <mergeCell ref="Q18:Q21"/>
    <mergeCell ref="R18:R21"/>
    <mergeCell ref="A12:O12"/>
    <mergeCell ref="P12:R12"/>
    <mergeCell ref="D13:D16"/>
    <mergeCell ref="E13:E16"/>
    <mergeCell ref="F13:F16"/>
    <mergeCell ref="G13:G16"/>
    <mergeCell ref="H13:H16"/>
    <mergeCell ref="I13:I16"/>
    <mergeCell ref="J13:J16"/>
    <mergeCell ref="K13:K16"/>
    <mergeCell ref="L13:L16"/>
    <mergeCell ref="M13:M16"/>
    <mergeCell ref="N13:N16"/>
    <mergeCell ref="O13:O16"/>
    <mergeCell ref="P13:P16"/>
    <mergeCell ref="Q13:Q16"/>
    <mergeCell ref="R13:R16"/>
    <mergeCell ref="A1:F1"/>
    <mergeCell ref="A2:R2"/>
    <mergeCell ref="G4:I4"/>
    <mergeCell ref="J4:L4"/>
    <mergeCell ref="M4:O4"/>
    <mergeCell ref="P4:R4"/>
    <mergeCell ref="A6:R6"/>
    <mergeCell ref="A7:O7"/>
    <mergeCell ref="P7:R7"/>
    <mergeCell ref="D8:D11"/>
    <mergeCell ref="E8:E11"/>
    <mergeCell ref="F8:F11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</cp:lastModifiedBy>
  <cp:revision>0</cp:revision>
  <dcterms:created xsi:type="dcterms:W3CDTF">2026-08-26T20:26:07Z</dcterms:created>
  <dcterms:modified xsi:type="dcterms:W3CDTF">2026-08-26T20:33:28Z</dcterms:modified>
  <dc:language>en-US</dc:language>
</cp:coreProperties>
</file>